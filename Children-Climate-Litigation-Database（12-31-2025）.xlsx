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daiwenqing/Desktop/毕业论文（写）/260208-正式版/"/>
    </mc:Choice>
  </mc:AlternateContent>
  <xr:revisionPtr revIDLastSave="0" documentId="13_ncr:1_{6D884113-15EE-0A4A-97BF-AEE4D310BED7}" xr6:coauthVersionLast="47" xr6:coauthVersionMax="47" xr10:uidLastSave="{00000000-0000-0000-0000-000000000000}"/>
  <workbookProtection lockStructure="1"/>
  <bookViews>
    <workbookView xWindow="0" yWindow="0" windowWidth="25600" windowHeight="16000" xr2:uid="{F7CF97AA-3C2D-8B49-9669-62A02785BA1A}"/>
  </bookViews>
  <sheets>
    <sheet name="1 " sheetId="2" r:id="rId1"/>
  </sheets>
  <definedNames>
    <definedName name="_xlnm._FilterDatabase" localSheetId="0" hidden="1">'1 '!$A$1:$AM$93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70" i="2" l="1"/>
  <c r="G87" i="2"/>
  <c r="G75" i="2"/>
  <c r="G74" i="2"/>
  <c r="G72" i="2"/>
  <c r="G73" i="2"/>
  <c r="G50" i="2"/>
  <c r="G49" i="2"/>
  <c r="G51" i="2"/>
  <c r="G55" i="2"/>
  <c r="G19" i="2"/>
  <c r="D93" i="2"/>
  <c r="D92" i="2"/>
  <c r="D91" i="2"/>
  <c r="D90" i="2"/>
  <c r="D89" i="2"/>
  <c r="D88" i="2"/>
  <c r="D87" i="2"/>
  <c r="D86" i="2"/>
  <c r="D85" i="2"/>
  <c r="D84" i="2"/>
  <c r="D83" i="2"/>
  <c r="D82" i="2"/>
  <c r="D81" i="2"/>
  <c r="G80" i="2"/>
  <c r="D80" i="2"/>
  <c r="G79" i="2"/>
  <c r="D79" i="2"/>
  <c r="D78" i="2"/>
  <c r="D77" i="2"/>
  <c r="D76" i="2"/>
  <c r="D75" i="2"/>
  <c r="D74" i="2"/>
  <c r="D73" i="2"/>
  <c r="D72" i="2"/>
  <c r="D71" i="2"/>
  <c r="G69" i="2"/>
  <c r="D69" i="2"/>
  <c r="G68" i="2"/>
  <c r="D68" i="2"/>
  <c r="D67" i="2"/>
  <c r="G66" i="2"/>
  <c r="D66" i="2"/>
  <c r="D65" i="2"/>
  <c r="G64" i="2"/>
  <c r="D64" i="2"/>
  <c r="G63" i="2"/>
  <c r="D63" i="2"/>
  <c r="G62" i="2"/>
  <c r="D62" i="2"/>
  <c r="G61" i="2"/>
  <c r="D61" i="2"/>
  <c r="G60" i="2"/>
  <c r="D60" i="2"/>
  <c r="G59" i="2"/>
  <c r="D59" i="2"/>
  <c r="G58" i="2"/>
  <c r="D58" i="2"/>
  <c r="G57" i="2"/>
  <c r="D57" i="2"/>
  <c r="G56" i="2"/>
  <c r="D56" i="2"/>
  <c r="D55" i="2"/>
  <c r="D54" i="2"/>
  <c r="G53" i="2"/>
  <c r="D53" i="2"/>
  <c r="G52" i="2"/>
  <c r="D52" i="2"/>
  <c r="D51" i="2"/>
  <c r="D50" i="2"/>
  <c r="D49" i="2"/>
  <c r="D48" i="2"/>
  <c r="G47" i="2"/>
  <c r="D47" i="2"/>
  <c r="G46" i="2"/>
  <c r="D46" i="2"/>
  <c r="D45" i="2"/>
  <c r="G44" i="2"/>
  <c r="D44" i="2"/>
  <c r="G43" i="2"/>
  <c r="D43" i="2"/>
  <c r="G42" i="2"/>
  <c r="D42" i="2"/>
  <c r="G41" i="2"/>
  <c r="D41" i="2"/>
  <c r="G40" i="2"/>
  <c r="D40" i="2"/>
  <c r="G39" i="2"/>
  <c r="D39" i="2"/>
  <c r="D38" i="2"/>
  <c r="D37" i="2"/>
  <c r="D36" i="2"/>
  <c r="D35" i="2"/>
  <c r="D34" i="2"/>
  <c r="G33" i="2"/>
  <c r="D33" i="2"/>
  <c r="G32" i="2"/>
  <c r="D32" i="2"/>
  <c r="G31" i="2"/>
  <c r="D31" i="2"/>
  <c r="G30" i="2"/>
  <c r="D30" i="2"/>
  <c r="G29" i="2"/>
  <c r="D29" i="2"/>
  <c r="G28" i="2"/>
  <c r="D28" i="2"/>
  <c r="G27" i="2"/>
  <c r="D27" i="2"/>
  <c r="G26" i="2"/>
  <c r="D26" i="2"/>
  <c r="G25" i="2"/>
  <c r="D25" i="2"/>
  <c r="D24" i="2"/>
  <c r="G23" i="2"/>
  <c r="D23" i="2"/>
  <c r="G22" i="2"/>
  <c r="D22" i="2"/>
  <c r="D21" i="2"/>
  <c r="G20" i="2"/>
  <c r="D20" i="2"/>
  <c r="D19" i="2"/>
  <c r="G18" i="2"/>
  <c r="D18" i="2"/>
  <c r="G17" i="2"/>
  <c r="D17" i="2"/>
  <c r="G16" i="2"/>
  <c r="D16" i="2"/>
  <c r="G15" i="2"/>
  <c r="D15" i="2"/>
  <c r="D14" i="2"/>
  <c r="G13" i="2"/>
  <c r="D13" i="2"/>
  <c r="G12" i="2"/>
  <c r="D12" i="2"/>
  <c r="G11" i="2"/>
  <c r="D11" i="2"/>
  <c r="G10" i="2"/>
  <c r="D10" i="2"/>
  <c r="G9" i="2"/>
  <c r="D9" i="2"/>
  <c r="G8" i="2"/>
  <c r="D8" i="2"/>
  <c r="G7" i="2"/>
  <c r="D7" i="2"/>
  <c r="G6" i="2"/>
  <c r="D6" i="2"/>
  <c r="G5" i="2"/>
  <c r="D5" i="2"/>
  <c r="G4" i="2"/>
  <c r="D4" i="2"/>
  <c r="G3" i="2"/>
  <c r="D3" i="2"/>
</calcChain>
</file>

<file path=xl/sharedStrings.xml><?xml version="1.0" encoding="utf-8"?>
<sst xmlns="http://schemas.openxmlformats.org/spreadsheetml/2006/main" count="1886" uniqueCount="589">
  <si>
    <t>No.</t>
  </si>
  <si>
    <t>Case Name</t>
  </si>
  <si>
    <t>Case Status</t>
  </si>
  <si>
    <t>Time Dimension</t>
    <phoneticPr fontId="5" type="noConversion"/>
  </si>
  <si>
    <t>Geography</t>
    <phoneticPr fontId="5" type="noConversion"/>
  </si>
  <si>
    <t>Court/admin entity</t>
    <phoneticPr fontId="5" type="noConversion"/>
  </si>
  <si>
    <t>Plaintiffs</t>
  </si>
  <si>
    <t>Key Issues</t>
  </si>
  <si>
    <t>Impact &amp; Development</t>
    <phoneticPr fontId="5" type="noConversion"/>
  </si>
  <si>
    <t>Link of the case</t>
  </si>
  <si>
    <t>Year</t>
    <phoneticPr fontId="5" type="noConversion"/>
  </si>
  <si>
    <t xml:space="preserve">Petition date </t>
  </si>
  <si>
    <t>Decided date</t>
  </si>
  <si>
    <t>Country/Region</t>
    <phoneticPr fontId="5" type="noConversion"/>
  </si>
  <si>
    <t>City</t>
    <phoneticPr fontId="5" type="noConversion"/>
  </si>
  <si>
    <t>Location Type</t>
    <phoneticPr fontId="5" type="noConversion"/>
  </si>
  <si>
    <t>Approved</t>
  </si>
  <si>
    <t>Philippines</t>
  </si>
  <si>
    <t>Manila</t>
  </si>
  <si>
    <t>Supreme Court, Manilla</t>
    <phoneticPr fontId="5" type="noConversion"/>
  </si>
  <si>
    <t>Sanders-Reed v. Martinez</t>
  </si>
  <si>
    <t>Dismissed</t>
  </si>
  <si>
    <t>US</t>
    <phoneticPr fontId="5" type="noConversion"/>
  </si>
  <si>
    <t>New Mexico</t>
  </si>
  <si>
    <t xml:space="preserve">The New Mexico Court of Appeals </t>
  </si>
  <si>
    <t>Action seeking declaration that state had obligation to protect atmosphere as public trust and to regulate greenhouse gas emissions.</t>
  </si>
  <si>
    <t>Public Trust Doctrine</t>
  </si>
  <si>
    <t>https://climatecasechart.com/case/sanders-reed-v-martinez/
https://casetext.com/case/sanders-reed-v-martinez</t>
  </si>
  <si>
    <t>Aronow v. Minnesota</t>
  </si>
  <si>
    <t>Minnesota</t>
  </si>
  <si>
    <t>state appellate court</t>
  </si>
  <si>
    <t>Challenge under the public trust doctrine to Minnesota's failure to regulate greenhouse gas emissions.</t>
  </si>
  <si>
    <t>https://climatecasechart.com/case/aronow-v-minnesota/</t>
  </si>
  <si>
    <t>Blades v. California</t>
  </si>
  <si>
    <t>California</t>
  </si>
  <si>
    <t xml:space="preserve">California Superior Court </t>
  </si>
  <si>
    <t>Action seeking declaration that atmosphere is a public trust resources that the State of California has an obligation to protect for its current and future citizens, including by imposing restrictions on greenhouse gas restrictions.</t>
  </si>
  <si>
    <t>https://climatecasechart.com/case/blades-v-california/</t>
  </si>
  <si>
    <t>Montana</t>
  </si>
  <si>
    <t xml:space="preserve">The Montana Supreme Court </t>
  </si>
  <si>
    <t>Challenge to state’s alleged failure to protect atmosphere from greenhouse gas emissions.</t>
  </si>
  <si>
    <t>https://climatecasechart.com/case/2436/</t>
  </si>
  <si>
    <t>Alec L. v McCarthy</t>
  </si>
  <si>
    <t>The U.S. Supreme Court</t>
  </si>
  <si>
    <t>https://climatecasechart.com/case/alec-l-v-mccarthy/</t>
  </si>
  <si>
    <t>Bonser-Lain v. Texas Commission on Environmental Quality</t>
  </si>
  <si>
    <t>Texas</t>
  </si>
  <si>
    <t>The Texas Court of Appeals</t>
  </si>
  <si>
    <t>Proceedings seeking to compel Texas state agency to adopt rules to reduce greenhouse gas emissions pursuant to public trust doctrine.</t>
  </si>
  <si>
    <t>https://climatecasechart.com/case/bonser-lain-v-tex-commn-on-envtl-quality/</t>
  </si>
  <si>
    <t>Svitak v. Washington</t>
  </si>
  <si>
    <t>Washington</t>
  </si>
  <si>
    <t>Action seeking declaration that State of Washington had obligation to protect atmosphere as public trust and to regulate greenhouse gas emissions.</t>
  </si>
  <si>
    <t>https://climatecasechart.com/case/svitak-v-washington/</t>
  </si>
  <si>
    <t>Chernaik v. Brown</t>
  </si>
  <si>
    <t>Oregon</t>
  </si>
  <si>
    <t>Oregon Supreme Court</t>
  </si>
  <si>
    <t>Action seeking declaration that state had obligation to protect atmosphere as public trust and regulate greenhouse emissions.</t>
  </si>
  <si>
    <t>Kanuk v. Alaska</t>
  </si>
  <si>
    <t>Alaska</t>
  </si>
  <si>
    <t>The Supreme Court of Alaska</t>
  </si>
  <si>
    <t>Action seeking declaration that State of Alaska had obligation to protect atmosphere as public trust and regulate greenhouse gas emissions.</t>
  </si>
  <si>
    <t>https://climatecasechart.com/case/kanuk-v-alaska/</t>
  </si>
  <si>
    <t xml:space="preserve">Butler v. Brewer </t>
  </si>
  <si>
    <t>Arizona</t>
  </si>
  <si>
    <t xml:space="preserve"> the court of appeals</t>
  </si>
  <si>
    <t>Mbabazi and others v. The Attorney General and National Environmental Management Authority</t>
  </si>
  <si>
    <t>Pending</t>
  </si>
  <si>
    <t>Uganda</t>
  </si>
  <si>
    <t>Ugandan government's obligations to mitigate climate change pursuant to the public trust doctrine</t>
  </si>
  <si>
    <t>https://www.ourchildrenstrust.org/uganda
https://www.ucc.ie/en/youthclimatejustice/caselawdatabase/mbabazi-and-others-v-the-attorney-general-and-national-environmental-management-.html</t>
  </si>
  <si>
    <t>Farb v Kansas</t>
  </si>
  <si>
    <t>Kansas</t>
  </si>
  <si>
    <t>Lawsuit alleging that state had responsibility under public trust doctrine to prevent climate change.</t>
  </si>
  <si>
    <t>https://climatecasechart.com/case/farb-v-kansas/</t>
  </si>
  <si>
    <t>Martinez v. Colorado Oil &amp; Gas Conservation Commission</t>
  </si>
  <si>
    <t>Colorado</t>
  </si>
  <si>
    <t>the Colorado Supreme Court</t>
  </si>
  <si>
    <t>Rulemaking petition and subsequent litigation seeking to require Colorado Oil and Gas Conservation Commission to deny drilling permits unless they would not adversely impact human health and the environment or contribute to climate change.</t>
  </si>
  <si>
    <t>https://climatecasechart.com/case/martinez-v-colorado-oil-gas-conservation-commission/
https://coloradosun.com/2019/01/14/martinez-supreme-court-decision/</t>
  </si>
  <si>
    <t>Massachusetts</t>
  </si>
  <si>
    <t>Massachusetts Supreme Judicial Court</t>
  </si>
  <si>
    <t>Challenge to denial of rulemaking petition that asked Department of Ecology to recommend restrictions on greenhouse gas emission to state legislature.</t>
  </si>
  <si>
    <t>Juliana v. United States</t>
  </si>
  <si>
    <t xml:space="preserve">Youth Plaintiffs Asserted Constitutional Claims Against Federal Government for Failure to Reduce Carbon Dioxide Emissions.  </t>
  </si>
  <si>
    <t>Funk v. Wolf</t>
  </si>
  <si>
    <t>Pennsylvania</t>
  </si>
  <si>
    <t>Pennsylvania Supreme Court</t>
  </si>
  <si>
    <t>Seeking to compel Pennsylvania to take action to restrict carbon dioxide emissions.</t>
  </si>
  <si>
    <t>https://climatecasechart.com/case/funk-v-wolf/</t>
  </si>
  <si>
    <t>Pakistan</t>
  </si>
  <si>
    <t>Injunction against development of Thar Coalfield</t>
  </si>
  <si>
    <t>https://climatecasechart.com/non-us-case/ali-v-federation-of-pakistan-2/</t>
  </si>
  <si>
    <t>Sweden</t>
  </si>
  <si>
    <t>Stockholm</t>
  </si>
  <si>
    <t>Stockholm District Court</t>
  </si>
  <si>
    <t>Norway</t>
  </si>
  <si>
    <t>Oslo</t>
  </si>
  <si>
    <t>Norwegian Supreme Court</t>
  </si>
  <si>
    <t>Constitutionality of Norwegian government decision to license new blocks of Barents Sea for development of deep-sea oil and gas extraction</t>
  </si>
  <si>
    <t>https://climatecasechart.com/non-us-case/greenpeace-nordic-assn-and-nature-youth-v-norway-ministry-of-petroleum-and-energy/</t>
  </si>
  <si>
    <t>India</t>
  </si>
  <si>
    <t>Sagoonick v. State</t>
  </si>
  <si>
    <t>Alaska Superior Court</t>
  </si>
  <si>
    <t>Lawsuit contending that Alaska state Climate and Energy Policy violated youth plaintiffs' rights under the state constitution.</t>
  </si>
  <si>
    <t>https://climatecasechart.com/case/sinnok-v-alaska/</t>
  </si>
  <si>
    <t>Clean Air Council v. United States</t>
  </si>
  <si>
    <t>Lawsuit against United States and other federal defendants asserting constitutional claims to block deregulatory actions by Trump administration.</t>
  </si>
  <si>
    <t>Plan B Earth and Others v. The Secretary of State for Business, Energy, and Industrial Strategy</t>
  </si>
  <si>
    <t>UK</t>
  </si>
  <si>
    <t>https://climatecasechart.com/non-us-case/plan-b-earth-others-v-secretary-state-business-energy-industrial-strategy/</t>
  </si>
  <si>
    <t>Future Generations v. Ministry of the Environment</t>
  </si>
  <si>
    <t>Colombia</t>
  </si>
  <si>
    <t>Colombia Supreme Court</t>
  </si>
  <si>
    <t>Youth plaintiffs seek to enforce fundamental rights to a healthy environment which they claim are threatened by climate change and deforestation.</t>
  </si>
  <si>
    <t>Aji P. v. State of Washington</t>
  </si>
  <si>
    <t>Action by young people under 18 years of age claiming that the State of Washington and state agencies and officials violated plaintiffs' rights by creating and maintaining fossil fuel-based transportation and energy systems.</t>
  </si>
  <si>
    <t>Florida</t>
  </si>
  <si>
    <t>Action by eight young people asserting that the State of Florida and its agencies and officials violated fundamental rights to a stable climate system under Florida common law and the Florida constitution.</t>
  </si>
  <si>
    <t>https://climatecasechart.com/case/reynolds-v-florida/</t>
  </si>
  <si>
    <t>Armando Ferrão Carvalho and Others v. The European Parliament and the Council</t>
  </si>
  <si>
    <t>European Court of Justice</t>
  </si>
  <si>
    <t>Paris Agreement</t>
  </si>
  <si>
    <t>Lack of Standing</t>
  </si>
  <si>
    <t>Canada</t>
  </si>
  <si>
    <t>Whether the Canadian government violated fundamental rights of citizens aged 35 and under by failing to set a greenhouse gas emission reduction target and plan to avoid dangerous climate change impacts</t>
  </si>
  <si>
    <t>https://climatecasechart.com/non-us-case/environnement-jeunesse-v-canadian-government/
https://www.ucc.ie/en/youthclimatejustice/caselawdatabase/sacchi-v-argentina-et-al-.html</t>
  </si>
  <si>
    <t>Daniel Billy and others v Austrialia (Torres Strait Islanders Petition)</t>
  </si>
  <si>
    <t>UNHRC</t>
  </si>
  <si>
    <t>United Nations Human Rights Committee</t>
  </si>
  <si>
    <t>Whether Austrialia violated the human rights of low-lying islanders through failure to act on climate change</t>
  </si>
  <si>
    <t>https://climatecasechart.com/non-us-case/petition-of-torres-strait-islanders-to-the-united-nations-human-rights-committee-alleging-violations-stemming-from-australias-inaction-on-climate-change/</t>
  </si>
  <si>
    <t>Sacchi et al. v. Argentina et al.</t>
  </si>
  <si>
    <t>UNCRC</t>
  </si>
  <si>
    <t>United Nations Committee on the Rights of the Child</t>
  </si>
  <si>
    <t>Whether respondents violated children’s rights under international law by making insufficient cuts to greenhouse gas emissions and failing to use available tools to protect children from carbon pollution by the world’s major emitters.</t>
  </si>
  <si>
    <t>Sacchi, et al. v. Argentina, et al. - Climate Change Litigation</t>
  </si>
  <si>
    <t>La Rose v. Her Majesty the Queen</t>
  </si>
  <si>
    <t>Federal Court of Appeal</t>
  </si>
  <si>
    <t>Canadian youth sought declarations that Canada violated their rights by failing to take sufficient action on climate change, and an order requiring the government to implement a Climate Recovery Plan.</t>
  </si>
  <si>
    <t>Mathur, et al. v. Her Majesty the Queen in Right of Ontario</t>
  </si>
  <si>
    <t>Youth brought suit to challenge Ontario's 2030 greenhouse gas reduction target.</t>
  </si>
  <si>
    <t>Mexico</t>
  </si>
  <si>
    <t xml:space="preserve">15
</t>
    <phoneticPr fontId="5" type="noConversion"/>
  </si>
  <si>
    <t>Álvarez et al v. Peru</t>
  </si>
  <si>
    <t>Peru</t>
  </si>
  <si>
    <t>Superior Court of Lima</t>
  </si>
  <si>
    <t>Peruvian youth sued Peru to require net zero deforestation in the Amazon by 2025.</t>
  </si>
  <si>
    <t>Neubauer et al. v. Germany</t>
  </si>
  <si>
    <t>Germany</t>
  </si>
  <si>
    <t>Germany Federal Constitutional Court</t>
  </si>
  <si>
    <t>Youth argued that Germany's GHG reduction goals violated human rights.</t>
  </si>
  <si>
    <t>https://climatecasechart.com/non-us-case/neubauer-et-al-v-germany/</t>
  </si>
  <si>
    <t>Ecuador</t>
  </si>
  <si>
    <t>South Korea</t>
  </si>
  <si>
    <t>Constitutional Court</t>
  </si>
  <si>
    <t>South Korean youth filed suit against the government alleging that insufficient action on climate change violates their fundamental rights.</t>
  </si>
  <si>
    <t>Held et al. v. State of Montana</t>
  </si>
  <si>
    <t>Lawsuit seeking declaration of right under the Montana constitution to a stable climate system and to compel Montana to prepare and implement a remedial plan to reduce greenhouse gas emissions.</t>
  </si>
  <si>
    <t>Fridays for Future Estonia v. Eesti Energia</t>
  </si>
  <si>
    <t>Estonia</t>
  </si>
  <si>
    <t>Whether it is legal to allow a new fossil fuel plant to begin operations</t>
  </si>
  <si>
    <t>Youth Verdict v. Waratah Coal</t>
  </si>
  <si>
    <t>Australia</t>
  </si>
  <si>
    <t>Austrialian youth challenged proposed coal mine on human rights grounds.</t>
  </si>
  <si>
    <t>Argentina court case Civil Association for Environmental Justice v. Province of Entre Ríos</t>
  </si>
  <si>
    <t>Argentina</t>
  </si>
  <si>
    <t>Whether different governmental entities are responsible for the burning of a wetland ecosystem and must take immediate action to protect the environment and citizens’ health.</t>
  </si>
  <si>
    <t>https://climatecasechart.com/non-us-case/asociacion-civil-por-la-justicia-ambiental-v-province-of-entre-rios-et-al/</t>
  </si>
  <si>
    <t>Duarte Agostinho and Others v. Portugal and 32 Other States</t>
  </si>
  <si>
    <t>ECHR</t>
  </si>
  <si>
    <t>European Court of Human Rights (Grand Chamber)</t>
  </si>
  <si>
    <t>Whether 33 countries had violated children and youth's human rights for failing to take sufficient action on climate change.</t>
  </si>
  <si>
    <t>Sharma and others v. Minister for the Environment</t>
  </si>
  <si>
    <t>Federal Court of Austrialia</t>
  </si>
  <si>
    <t>Whether the Minister for Environment has a duty of care to avoid causing harm to Austrialian children when deciding whether or not to approve a coal mine expansion. If so, whether an injunction can be sought to stop the Minister from approving the coal mine expansion.</t>
  </si>
  <si>
    <t>Petition to the Inter-American Commission on Human Rights Seeking to Redress Violations of the Rights of Children in Cité Soleil, Haiti</t>
  </si>
  <si>
    <t>Haiti</t>
  </si>
  <si>
    <t>Inter-American Commission on Human Rights</t>
  </si>
  <si>
    <t>Whether the health harms from trash disposal, exacerbated by climate change, violate Haitian children's human rights.</t>
  </si>
  <si>
    <t>De Conto v. Italy and 32 other States</t>
  </si>
  <si>
    <t>European Court of Human Rights</t>
  </si>
  <si>
    <t>Youth filed human rights complaint against 33 governments.</t>
  </si>
  <si>
    <t>https://climatecasechart.com/non-us-case/de-conto-v-italy-and-32-other-states/</t>
  </si>
  <si>
    <t>Uricchio v. Italy and 32 other States</t>
  </si>
  <si>
    <t>https://climatecasechart.com/non-us-case/uricchio-v-italy-and-32-other-states/</t>
  </si>
  <si>
    <t>Whether the amendment of Mexico’s Electric Industry Law violates the constitutional right to a healthy environment by giving preference to electricity generated by coal and fuel oil-fired power plants over renewables.</t>
  </si>
  <si>
    <t>https://climatecasechart.com/non-us-case/nuestros-derechos-al-futuro-y-medio-ambiente-sano-et-al-v-mexico-unconstitutionality-of-the-reform-to-the-electric-industry-law/</t>
  </si>
  <si>
    <t>Six Youths v. Minister of Environment and Others</t>
  </si>
  <si>
    <t>Brazil</t>
  </si>
  <si>
    <t>Whether Brazil's updated NDC violated the Paris Agreement and Brazil's constitution by decreasing its ambition.</t>
  </si>
  <si>
    <t>https://climatecasechart.com/non-us-case/six-youths-v-minister-of-environment-and-others/</t>
  </si>
  <si>
    <t>Plan B Earth and Others v. Prime Minister</t>
  </si>
  <si>
    <t>England and Wales-High Court of Justice</t>
  </si>
  <si>
    <t>Whether the UK government violated human rights by failing to uphold Paris Agreement commitments.</t>
  </si>
  <si>
    <t>https://climatecasechart.com/non-us-case/plan-b-earth-and-others-v-prime-minister/
https://climatalk.org/2022/05/30/plan-b-earth-and-others-v-uk-prime-minister/</t>
  </si>
  <si>
    <t>Thomas &amp; De Freitas v. Guyana</t>
  </si>
  <si>
    <t>Guyana</t>
  </si>
  <si>
    <t>Supreme Court</t>
  </si>
  <si>
    <t>Whether Guyana's issuing of oil exploration permits violates constitutional human rights</t>
  </si>
  <si>
    <t>https://climatecasechart.com/non-us-case/thomas-de-freitas-v-guyana/</t>
  </si>
  <si>
    <t>Greenpeace Nordic and Others v. Norway</t>
  </si>
  <si>
    <t>Whether Norway has violated the fundamental rights of Norwegian citizens through the adoption of the decision to license new blocks of Barents Sea for development of deep-sea oil and gas extraction and through the failure to take the necessary measure to address the risk of the climate crisis.</t>
  </si>
  <si>
    <t>https://climatecasechart.com/non-us-case/greenpeace-nordic-assn-v-ministry-of-petroleum-and-energy-ecthr/
https://www.greenpeace.org/international/story/69315/landmark-climate-justice-case-norway-oil-gas-expansion-global-legal-precedent/</t>
  </si>
  <si>
    <t>Marlene Lemme, et al. v. State of Bayern (constitutional claim)</t>
  </si>
  <si>
    <t>Bayern</t>
  </si>
  <si>
    <t>Federal Constitutional Court</t>
  </si>
  <si>
    <t>The inadequacy of a climate protection law in the State of Bavaria.</t>
  </si>
  <si>
    <t>Emma Johanna Kiehm, et al. v. State of Brandenburg</t>
  </si>
  <si>
    <t>Brandenburg</t>
  </si>
  <si>
    <t>The lack of a climate protection law in the State of Brandenburg.</t>
  </si>
  <si>
    <t>Jannis Krüßmann, et al. v. Nordrhein-Westfalen (NRW)</t>
  </si>
  <si>
    <t xml:space="preserve"> Nordrhein-Westfalen (NRW)</t>
  </si>
  <si>
    <t>The inadequacy of a climate protection law in the State of Nordrhein-Westfalen.</t>
  </si>
  <si>
    <t>https://climatecasechart.com/non-us-case/jannis-krusmann-et-al-v-nordrhein-westfalen-nrw/</t>
  </si>
  <si>
    <t>Africa Climate Alliance et. al., v. Minister of Mineral Resources &amp; Energy et. al. (#CancelCoal case)</t>
  </si>
  <si>
    <t>South Africa</t>
  </si>
  <si>
    <t>High Court of South Africa</t>
  </si>
  <si>
    <t>Whether the government’s decision to procure new coal-fired power is unconstitutional.</t>
  </si>
  <si>
    <t>https://climatecasechart.com/non-us-case/africa-climate-alliance-et-al-v-minister-of-mineral-resources-energy-et-al-cancelcoal-case/</t>
  </si>
  <si>
    <t>Alena Hochstadt, et al. v. State of Hessen</t>
  </si>
  <si>
    <t>Hessen</t>
  </si>
  <si>
    <t>Whether the German State of Hessen’s failure to adopt a climate legislation that accurately reflects carbon neutrality targets under Hessen’s Federal Climate Protection Act violates the claimants’ rights under the German Constitution.</t>
  </si>
  <si>
    <t>https://climatecasechart.com/non-us-case/alena-hochstadt-et-al-v-state-of-hesse/
https://climatalk.org/2023/10/25/alena-hochstadt-et-al-v-state-of-hessen/</t>
  </si>
  <si>
    <t>Otis Hoffman, et al. v. State of Mecklenburg-Vorpommern</t>
  </si>
  <si>
    <t>Mecklenburg-Vorpommern</t>
  </si>
  <si>
    <t>The lack of a climate protection law in the State of Mecklenburg-Vorpommern.</t>
  </si>
  <si>
    <t>https://climatecasechart.com/non-us-case/otis-hoffman-et-al-v-state-of-mecklenburg-vorpommern/</t>
  </si>
  <si>
    <t>Tristan Runge, et al. v. State of Saxony</t>
  </si>
  <si>
    <t>Saxony</t>
  </si>
  <si>
    <t>The lack of a climate protection law in the State of Saxony.</t>
  </si>
  <si>
    <t>https://climatecasechart.com/non-us-case/tristan-runge-et-al-v-state-of-sachsen/</t>
  </si>
  <si>
    <t>Leonie Frank, et. al v. State of Saarland</t>
  </si>
  <si>
    <t>Saarland</t>
  </si>
  <si>
    <t>The lack of a climate protection law in the State of Saarland.</t>
  </si>
  <si>
    <t>https://climatecasechart.com/non-us-case/leonie-frank-et-al-v-state-of-saarland/</t>
  </si>
  <si>
    <t>Luca Salis, et al. v. State of Sachsen-Anhalt</t>
  </si>
  <si>
    <t>Sachsen-Anhalt</t>
  </si>
  <si>
    <t>The lack of a climate protection law in the State of Saxony-Anhalt.</t>
  </si>
  <si>
    <t>https://climatecasechart.com/non-us-case/luca-salis-et-al-v-state-of-sachsen-anhalt/</t>
  </si>
  <si>
    <t>Environmental Justice Austrialia (EJA) v. Austrialia</t>
  </si>
  <si>
    <t>Whether Austrialia is violating human rights of young people by presenting inadequate Nationally Determined Contributions.</t>
  </si>
  <si>
    <t>Students for Climate Solutions Inc v. Minister of Energy and Resources</t>
  </si>
  <si>
    <t>New Zealand</t>
  </si>
  <si>
    <t>Whether in granting petroleum exploration permits, the defendant government was required to consider the effects that granting such permits would have on greenhouse gas emissions.</t>
  </si>
  <si>
    <t>https://climatecasechart.com/non-us-case/students-for-climate-solutions-inc-v-minister-of-energy-and-resources/</t>
  </si>
  <si>
    <t>Children’s Petition to the United Nations Secretary-General to Declare a Climate Emergency</t>
  </si>
  <si>
    <t>UNSG</t>
  </si>
  <si>
    <t>United Nations Secretary General</t>
  </si>
  <si>
    <t>Whether the UN Secretary-General should declare a climate emergency.</t>
  </si>
  <si>
    <t>https://climatecasechart.com/non-us-case/childrens-petition-to-the-united-nations-secretary-general-to-declare-a-climate-emergency/</t>
  </si>
  <si>
    <t>Cosima Rade, et al. v. Baden-Württemberg (BaWü)</t>
  </si>
  <si>
    <t>Baden-Württemberg (BaWü)</t>
  </si>
  <si>
    <t>The inadequacy of a climate protection law in the State of Baden-Württemberg.</t>
  </si>
  <si>
    <t>Lower Saxony</t>
  </si>
  <si>
    <t>The inadequacy of a climate protection law in the State of Lower Saxony.</t>
  </si>
  <si>
    <t>https://climatecasechart.com/non-us-case/matteo-feind-et-al-v-niedersachsen/</t>
  </si>
  <si>
    <t>Steinmetz, et al. v. Germany</t>
  </si>
  <si>
    <t>Youth argue that Germany's amended GHG reduction goals continued to violate fundamental rights.</t>
  </si>
  <si>
    <t>https://climatecasechart.com/non-us-case/steinmetz-et-al-v-germany/</t>
  </si>
  <si>
    <t>Navahine F. v. Hawai‘i Department of Transportation</t>
  </si>
  <si>
    <t>Youth plaintiffs' lawsuit alleging that the establishment, operation, and maintenance of Hawai‘i’s state transportation system violates the Hawai‘i Constitution’s public trust doctrine and right to a clean and healthful environment.</t>
  </si>
  <si>
    <t>Woodpecker et al. v. South Korea</t>
  </si>
  <si>
    <t>Whether the South Korean NDC provides constitutionally required protection of the fundamental rights of the plaintiffs from the threat of climate change.</t>
  </si>
  <si>
    <t>Soubeste and Others v. Austria and 11 Other States</t>
  </si>
  <si>
    <t>Whether rights of young citizens have been affected by climate change due to the Energy Charter Treaty.</t>
  </si>
  <si>
    <t>https://climatecasechart.com/non-us-case/soubeste-and-others-v-austria-and-11-other-states/</t>
  </si>
  <si>
    <t>Engels v. Germany</t>
  </si>
  <si>
    <t>Whether the insufficient implementation of the Neubauer decision in Germany violates human rights.: 
the new objectives of the German Climate Protection Act
in its amended version which entered into force on 31 August 2021, are insufficient to reduce
greenhouse gas emissions to the level necessary for meeting the Paris Agreement temperature
goals.</t>
  </si>
  <si>
    <t>https://climatecasechart.com/non-us-case/engels-and-others-v-germany/</t>
  </si>
  <si>
    <t>Indonesian Youths and others v. Indonesia</t>
  </si>
  <si>
    <t>Indonesia</t>
  </si>
  <si>
    <t>National Human Rights Commission</t>
  </si>
  <si>
    <t>Whether the Indonesian government has violated its human rights obligations to Indonesian children and other vulnerable groups, by contributing to climate change and failing to take action to minimize climate risks.</t>
  </si>
  <si>
    <t>https://climatecasechart.com/non-us-case/indonesian-youths-and-others-v-indonesia/</t>
  </si>
  <si>
    <t>NZ Students for Climate Solutions and UK Youth Climate Coalition v. Board of BP</t>
  </si>
  <si>
    <t>ICC</t>
  </si>
  <si>
    <t>International Criminal Court</t>
  </si>
  <si>
    <t>Whether BP Senior Executives committed a crime against humanity by knowingly causing and perpetuating climate change in the pursuit of oil profits.</t>
  </si>
  <si>
    <t>https://climatecasechart.com/non-us-case/nz-students-for-climate-solutions-and-uk-youth-climate-coalition-v-board-of-bp/</t>
  </si>
  <si>
    <t>Various parties obo minors v. Anglo-American South Africa Limited &amp; Others (Children of Kabwe)</t>
    <phoneticPr fontId="5" type="noConversion"/>
  </si>
  <si>
    <t>Zambia</t>
  </si>
  <si>
    <t>Children of Austria v. Austria</t>
  </si>
  <si>
    <t>Austria</t>
  </si>
  <si>
    <t xml:space="preserve">12
</t>
    <phoneticPr fontId="5" type="noConversion"/>
  </si>
  <si>
    <t>Whether the Federal Climate Protection Act violates children’s rights under constitutional law or the EU Charter of Fundamental Rights and/or their right to equality before the law.</t>
  </si>
  <si>
    <t>A.S. &amp; S.A. &amp; E.N.B v. Presidency of Türkiye &amp; The Ministry of Environment, Urbanization and Climate Change</t>
  </si>
  <si>
    <t>Turkey</t>
  </si>
  <si>
    <t>Council of State</t>
  </si>
  <si>
    <t>https://climatecasechart.com/non-us-case/as-sa-enb-v-presidency-of-turkiye-the-ministry-of-environment-urbanization-and-climate-change/
https://bianet.org/haber/young-climate-activists-file-lawsuit-against-erdogan-over-inadequate-emission-goals-278474
https://www.change.org/p/stand-by-us-in-our-climate-lawsuit-against-the-president-erdo%C4%9Fan</t>
  </si>
  <si>
    <t>Atencio v. State</t>
  </si>
  <si>
    <t>Lawsuit asserting that the State of New Mexico and other State defendants violated the plaintiffs' rights under the New Mexico Constitution by continuing to authorize and promote oil and gas production without assuring protection of the environment.</t>
  </si>
  <si>
    <t>Greenpeace Nordic and Nature &amp; Youth v. Energy Ministry (The North Sea Fields Case)</t>
  </si>
  <si>
    <t>Whether Norway has violated the fundamental rights of Norwegian citizens and lower legislation through the adoption of three decisions concerning the plans for development and operation of petroleum (oil and gas) deposits in the North Sea by failing to include Scope 3 emissions in the Environmental Impact Assessment (EIA).</t>
  </si>
  <si>
    <t>Greenpeace Nordic and Nature &amp; Youth v. Energy Ministry (The North Sea Fields Case) - Climate Change 
Litigation
https://www.greenpeace.org/international/press-release/64831/environmental-youth-groups-win-climate-court-case-against-norwegian-state/</t>
  </si>
  <si>
    <t>Steinmetz, et al. v. Germany II</t>
  </si>
  <si>
    <t xml:space="preserve">Federal Constitutional Court </t>
  </si>
  <si>
    <t>Whether Germany's climate protection program violates fundamental rights as it is not ambitious enough</t>
  </si>
  <si>
    <t>https://climatecasechart.com/non-us-case/steinmetz-et-al-v-germany-ii/</t>
  </si>
  <si>
    <t>https://climatecasechart.com/case/genesis-b-v-us-environmental-protection-agency/
https://www.ourchildrenstrust.org/genesis-v-epa
https://www.ourchildrenstrust.org/blog/genesis-v-epa-youth-plaintiff-dives-into-climate-impacts-and-why-taking-legal-action-is-important-to-him</t>
  </si>
  <si>
    <t>A.S. &amp; S.A. &amp; E.N.B v. Presidency of the Republic of Türkiye</t>
  </si>
  <si>
    <t>Youth claimants filed a lawsuit ( A.S. &amp; S.A. &amp; E.N.B v. Presidency of Türkiye &amp; The Ministry of Environment, Urbanization and Climate Change) with the Council of State in 2023, arguing that Turkey’s climate policies fail to protect the rights of children and young people. After the court rejected their initial claim, the plaintiffs filed a new lawsuit. The new case challenges Turkey's NDC and the new strategy. The plaintiffs assert that Turkey’s climate policies and strategies neglect the need for a just energy transition and fall short of consistent emission reductions. The claim emphasizes that the inadequacy of Turkey’s climate response poses direct risks to human rights, particularly for future generations, and demands stronger commitments to phase out fossil fuels and align with international climate goals.</t>
  </si>
  <si>
    <t>https://climatecasechart.com/non-us-case/as-sa-enb-v-presidency-of-the-republic-of-turkiye/?utm_source=chatgpt.com</t>
  </si>
  <si>
    <t>Lee and others vs. Legislative Yuan (Constitutional Case)</t>
    <phoneticPr fontId="5" type="noConversion"/>
  </si>
  <si>
    <t>Taiwan-Province of China</t>
    <phoneticPr fontId="5" type="noConversion"/>
  </si>
  <si>
    <t>Taipei</t>
    <phoneticPr fontId="5" type="noConversion"/>
  </si>
  <si>
    <t>Taiwan Constitutional Court</t>
    <phoneticPr fontId="5" type="noConversion"/>
  </si>
  <si>
    <t>Whether the government of Taiwan has violated constitutional rights by failing to adopt a clear, enforceable, and scientifically grounded 2030 greenhouse gas emissions reduction target, thereby undermining its obligations under the Constitution and the Climate Change Response Act.</t>
    <phoneticPr fontId="5" type="noConversion"/>
  </si>
  <si>
    <t>https://www.climatecasechart.com/document/lee-and-others-vs-legislative-yuan-constitutional-case_0992?q=children&amp;y=2024&amp;y=2025&amp;cpl=category%2FYouth%2FChildren&amp;cpl=category%2FSuits+against+governments</t>
    <phoneticPr fontId="5" type="noConversion"/>
  </si>
  <si>
    <t>Sagoonick v. StateII</t>
  </si>
  <si>
    <t>Lawsuit asserting that laws requiring development of a liquefied natural gas project in Alaska violated the youth plaintiffs' rights under the Alaska Constitution.</t>
  </si>
  <si>
    <t>https://climatecasechart.com/case/sagoonick-v-state/
https://static1.squarespace.com/static/655a2d016eb74e41dc292ed5/t/664de6d9bcb1a335d71b79b0/1716381402062/2024.05.22.AK+LNG+Complaint.pdf</t>
  </si>
  <si>
    <t>Fridays for Future Estonia vs. Environmental Board</t>
  </si>
  <si>
    <t>https://climatecasechart.com/non-us-case/fridays-for-future-estonia-vs-environmental-board/</t>
  </si>
  <si>
    <t>Steinmetz, et al. v. Germany III</t>
  </si>
  <si>
    <t>https://climatecasechart.com/non-us-case/steinmetz-et-al-v-germany-iii/</t>
  </si>
  <si>
    <t>Youth Climate Case Japan for Tomorrow</t>
  </si>
  <si>
    <t>Japan</t>
  </si>
  <si>
    <t>Whether the power company's failure to make appropriate efforts to reduce CO₂ emissions constitute a violation of the plaintiffs' rights</t>
  </si>
  <si>
    <t>https://climatecasechart.com/non-us-case/youth-climate-case-japan-for-tomorrow/
https://youth4cj.jp/en/</t>
  </si>
  <si>
    <t>Community Law and Mediation Centre and others v. Ireland</t>
  </si>
  <si>
    <t>Ireland</t>
  </si>
  <si>
    <t>High Court of Ireland</t>
  </si>
  <si>
    <t>Whether Ireland's current climate action plans are inadequate such that they constitute a violation of domestic climate law and European Court of Human Rights law.</t>
  </si>
  <si>
    <t>Liao and others v. Ministry of Environment (Administrative Case)</t>
    <phoneticPr fontId="5" type="noConversion"/>
  </si>
  <si>
    <t>Taipei High Administrative Court</t>
    <phoneticPr fontId="5" type="noConversion"/>
  </si>
  <si>
    <t>Whether the Ministry of Environment’s Phase 3 GHG Regulation Target—by setting an inadequately ambitious 2030 reduction goal—violates the Climate Change Response Act, relevant constitutional rights, and Taiwan’s international climate obligations.</t>
    <phoneticPr fontId="5" type="noConversion"/>
  </si>
  <si>
    <t>https://www.climatecasechart.com/document/liao-and-others-v-ministry-of-environment-administrative-case_2e2d?q=children&amp;y=2024&amp;y=2025&amp;cpl=category%2FYouth%2FChildren&amp;cpl=category%2FSuits+against+governments</t>
    <phoneticPr fontId="5" type="noConversion"/>
  </si>
  <si>
    <t>Juliana Youth v. United States of America (Jóvenes ex Juliana v. Estados Unidos de América)</t>
    <phoneticPr fontId="5" type="noConversion"/>
  </si>
  <si>
    <t>International</t>
    <phoneticPr fontId="5" type="noConversion"/>
  </si>
  <si>
    <t>International Courts &amp; Tribunals → Inter-American System of Human Rights → Inter-American Commission on Human Rights</t>
    <phoneticPr fontId="5" type="noConversion"/>
  </si>
  <si>
    <t>Whether the United States’ long-standing pursuit of fossil fuel–based energy policies, despite knowledge of their harmful consequences, and its obstruction of youth-led climate litigation, violate the petitioners’ substantive and procedural rights under the American Declaration on the Rights and Duties of Man and international law.</t>
    <phoneticPr fontId="5" type="noConversion"/>
  </si>
  <si>
    <t>https://www.climatecasechart.com/document/juliana-youth-v-united-states-of-america-jovenes-ex-juliana-v-estados-unidos-de-america_92f3?q=children&amp;y=2024&amp;y=2025&amp;cpl=category%2FYouth%2FChildren&amp;cpl=category%2FSuits+against+governments</t>
    <phoneticPr fontId="5" type="noConversion"/>
  </si>
  <si>
    <t>Claim Type</t>
    <phoneticPr fontId="4" type="noConversion"/>
  </si>
  <si>
    <t>State</t>
    <phoneticPr fontId="4" type="noConversion"/>
  </si>
  <si>
    <t xml:space="preserve">https://www.ucc.ie/en/youthclimatejustice/caselawdatabase/oposa-v-factoran.html
</t>
    <phoneticPr fontId="5" type="noConversion"/>
  </si>
  <si>
    <t>Court Level</t>
    <phoneticPr fontId="4" type="noConversion"/>
  </si>
  <si>
    <t>Implementation Status</t>
    <phoneticPr fontId="4" type="noConversion"/>
  </si>
  <si>
    <t>Capital City</t>
  </si>
  <si>
    <t>Global Divide</t>
    <phoneticPr fontId="4" type="noConversion"/>
  </si>
  <si>
    <t>Global South</t>
  </si>
  <si>
    <t>Global North</t>
  </si>
  <si>
    <t>National Government</t>
    <phoneticPr fontId="4" type="noConversion"/>
  </si>
  <si>
    <t>Legal Basis</t>
    <phoneticPr fontId="4" type="noConversion"/>
  </si>
  <si>
    <t>Partial Compliance</t>
  </si>
  <si>
    <t>Threshold Barriers</t>
    <phoneticPr fontId="4" type="noConversion"/>
  </si>
  <si>
    <t>Substantive Failure</t>
    <phoneticPr fontId="4" type="noConversion"/>
  </si>
  <si>
    <t>Others</t>
    <phoneticPr fontId="4" type="noConversion"/>
  </si>
  <si>
    <t>Reasons for Dismissal</t>
    <phoneticPr fontId="5" type="noConversion"/>
  </si>
  <si>
    <t xml:space="preserve">	Reasons for Winning</t>
    <phoneticPr fontId="4" type="noConversion"/>
  </si>
  <si>
    <t>Plaintiff Composition</t>
    <phoneticPr fontId="5" type="noConversion"/>
  </si>
  <si>
    <t>Group of Youths</t>
  </si>
  <si>
    <t>Age Category</t>
    <phoneticPr fontId="4" type="noConversion"/>
  </si>
  <si>
    <t>Legal Representation</t>
    <phoneticPr fontId="5" type="noConversion"/>
  </si>
  <si>
    <t>Special Identity</t>
    <phoneticPr fontId="4" type="noConversion"/>
  </si>
  <si>
    <t>Self-represented</t>
  </si>
  <si>
    <t>Support Entity Type</t>
    <phoneticPr fontId="4" type="noConversion"/>
  </si>
  <si>
    <t>Grassroots Collective</t>
  </si>
  <si>
    <t>Specialized Climate NGO</t>
  </si>
  <si>
    <t>Minors Only (U18)</t>
  </si>
  <si>
    <t>Fetus Included</t>
  </si>
  <si>
    <t>Primary Legal Path</t>
    <phoneticPr fontId="4" type="noConversion"/>
  </si>
  <si>
    <t>They demanded that the Department of Environment and Natural Resources (“DENR”) discontinue existing and further timber license agreements (“TLA”) in view of deforestation, on the basis of a fundamental right to a balanced and healthful ecology which was embodied in the Constitution and various legislations. </t>
    <phoneticPr fontId="4" type="noConversion"/>
  </si>
  <si>
    <t>Halt Specific Project</t>
  </si>
  <si>
    <t>Procedural Breakthrough</t>
    <phoneticPr fontId="4" type="noConversion"/>
  </si>
  <si>
    <t>Substantive Rights Recognition</t>
    <phoneticPr fontId="4" type="noConversion"/>
  </si>
  <si>
    <t>Recognized Standing</t>
  </si>
  <si>
    <t>Intergenerational Equity</t>
  </si>
  <si>
    <t>Remedies &amp; Systemic Change</t>
    <phoneticPr fontId="4" type="noConversion"/>
  </si>
  <si>
    <t>Invalidation of Projects/Permits</t>
  </si>
  <si>
    <t>Constitutional Rights</t>
  </si>
  <si>
    <t>Constitutional/Human Rights</t>
  </si>
  <si>
    <t>Environmental Rights</t>
  </si>
  <si>
    <t>Environmental Rights</t>
    <phoneticPr fontId="4" type="noConversion"/>
  </si>
  <si>
    <t>Life &amp; Health Rights</t>
  </si>
  <si>
    <t>Life &amp; Health Rights</t>
    <phoneticPr fontId="4" type="noConversion"/>
  </si>
  <si>
    <t>Children's Rights</t>
  </si>
  <si>
    <t>Children's Rights</t>
    <phoneticPr fontId="4" type="noConversion"/>
  </si>
  <si>
    <t>Right to Equality</t>
  </si>
  <si>
    <t>Public Trust Doctrine</t>
    <phoneticPr fontId="4" type="noConversion"/>
  </si>
  <si>
    <t>International Law Obligations</t>
    <phoneticPr fontId="4" type="noConversion"/>
  </si>
  <si>
    <t>Dismissed</t>
    <phoneticPr fontId="4" type="noConversion"/>
  </si>
  <si>
    <t>Appellate Court</t>
  </si>
  <si>
    <t>NGO + Youths</t>
  </si>
  <si>
    <t>Mixed (Minors &amp; Adults)</t>
  </si>
  <si>
    <t>Sub-national Government</t>
  </si>
  <si>
    <t>Binding Precedent</t>
  </si>
  <si>
    <t>Young Adults Only (18+)</t>
  </si>
  <si>
    <t>Individual</t>
  </si>
  <si>
    <t>Oposa v. Factoran</t>
    <phoneticPr fontId="5" type="noConversion"/>
  </si>
  <si>
    <t>Intergenerational Equity</t>
    <phoneticPr fontId="4" type="noConversion"/>
  </si>
  <si>
    <t>Others</t>
  </si>
  <si>
    <t>Federal Supreme Court</t>
    <phoneticPr fontId="4" type="noConversion"/>
  </si>
  <si>
    <t>State Supreme Court</t>
  </si>
  <si>
    <t>Imposing Restrictions on GHG</t>
  </si>
  <si>
    <t>Voluntary withdrawal</t>
  </si>
  <si>
    <t xml:space="preserve">Barhaugh v. Montana </t>
    <phoneticPr fontId="4" type="noConversion"/>
  </si>
  <si>
    <t>Law Firm + Youths</t>
  </si>
  <si>
    <t>via Next Friend</t>
  </si>
  <si>
    <t>Public Interest Law Firm</t>
  </si>
  <si>
    <t>Federal Supreme Court</t>
  </si>
  <si>
    <t>via Next Friend</t>
    <phoneticPr fontId="4" type="noConversion"/>
  </si>
  <si>
    <t>Lawsuit alleging violation of the public trust by the government and seeking 6% annual reduction in greenhouse gas emissions.</t>
    <phoneticPr fontId="4" type="noConversion"/>
  </si>
  <si>
    <t>Non-justiciability</t>
  </si>
  <si>
    <t>District of Columbia</t>
    <phoneticPr fontId="4" type="noConversion"/>
  </si>
  <si>
    <t>Jurisdictional Bar</t>
  </si>
  <si>
    <t>National Government</t>
  </si>
  <si>
    <t>Public Trust &amp; Fiduciary Duty</t>
  </si>
  <si>
    <t>Kampala</t>
    <phoneticPr fontId="4" type="noConversion"/>
  </si>
  <si>
    <t>Wash. Super. Ct.</t>
    <phoneticPr fontId="4" type="noConversion"/>
  </si>
  <si>
    <t>Families</t>
  </si>
  <si>
    <t>https://climatecasechart.com/case/chernaik-v-kitzhaber/</t>
    <phoneticPr fontId="4" type="noConversion"/>
  </si>
  <si>
    <t>No Enforceable Duty</t>
  </si>
  <si>
    <t>Environmental &amp; Health Rights</t>
  </si>
  <si>
    <t>Indigenous</t>
  </si>
  <si>
    <t>https://www.climatecasechart.com/collections/butler-v-brewer_e3f833</t>
    <phoneticPr fontId="4" type="noConversion"/>
  </si>
  <si>
    <t>Frontline Community</t>
  </si>
  <si>
    <t>High Court at Kampala</t>
    <phoneticPr fontId="4" type="noConversion"/>
  </si>
  <si>
    <t xml:space="preserve"> Kan. Dist. Ct.</t>
    <phoneticPr fontId="4" type="noConversion"/>
  </si>
  <si>
    <t>Trial Court</t>
  </si>
  <si>
    <t>Non-justiciability</t>
    <phoneticPr fontId="4" type="noConversion"/>
  </si>
  <si>
    <t>Legislative &amp; Rulemaking Trigger</t>
  </si>
  <si>
    <t>https://www.ucc.ie/en/youthclimatejustice/caselawdatabase/kain-v-department-of-environmental-protection-.html
https://climatecasechart.com/case/kain-v-department-of-environmental-protection/</t>
    <phoneticPr fontId="4" type="noConversion"/>
  </si>
  <si>
    <t>Emission Targets &amp; Policy Reform</t>
  </si>
  <si>
    <t>Student Group</t>
  </si>
  <si>
    <t xml:space="preserve">Kain v. Department of Environmental Protection
</t>
    <phoneticPr fontId="4" type="noConversion"/>
  </si>
  <si>
    <t>https://climatecasechart.com/case/foster-v-washington-department-of-ecology/</t>
    <phoneticPr fontId="4" type="noConversion"/>
  </si>
  <si>
    <t>Wash. Ct. App.</t>
    <phoneticPr fontId="4" type="noConversion"/>
  </si>
  <si>
    <t>Foster v. Washington Department of Ecology</t>
    <phoneticPr fontId="4" type="noConversion"/>
  </si>
  <si>
    <t>https://climatecasechart.com/case/juliana-v-united-states/
https://www.ourchildrenstrust.org/meet-the-juliana-youth-plaintiffs</t>
    <phoneticPr fontId="4" type="noConversion"/>
  </si>
  <si>
    <t>US Supreme Court</t>
    <phoneticPr fontId="4" type="noConversion"/>
  </si>
  <si>
    <t>Oregon</t>
    <phoneticPr fontId="4" type="noConversion"/>
  </si>
  <si>
    <t>International Jurisdiction</t>
  </si>
  <si>
    <t>Mixed (Minors &amp; Adults)</t>
    <phoneticPr fontId="4" type="noConversion"/>
  </si>
  <si>
    <t>Lahore High Court</t>
    <phoneticPr fontId="4" type="noConversion"/>
  </si>
  <si>
    <t>Punjab</t>
    <phoneticPr fontId="4" type="noConversion"/>
  </si>
  <si>
    <t>Property Rights</t>
  </si>
  <si>
    <t>Ali v. Federation of Pakistan</t>
    <phoneticPr fontId="4" type="noConversion"/>
  </si>
  <si>
    <t>https://climatecasechart.com/non-us-case/push-sweden-nature-youth-sweden-et-al-v-government-of-sweden/</t>
    <phoneticPr fontId="4" type="noConversion"/>
  </si>
  <si>
    <t>PUSH Sweden, Nature and Youth Sweden and Others v. Government of Sweden</t>
    <phoneticPr fontId="4" type="noConversion"/>
  </si>
  <si>
    <t>Large Group</t>
  </si>
  <si>
    <t>Greenpeace Nordic Ass’n v. Ministry of Petroleum and Energy (People v Arctic Oil)</t>
    <phoneticPr fontId="4" type="noConversion"/>
  </si>
  <si>
    <t>State-owned firm’s sale of coal and coal-burning assets to subsidiary of Czech holding company</t>
    <phoneticPr fontId="4" type="noConversion"/>
  </si>
  <si>
    <t>Lack of Prospects</t>
  </si>
  <si>
    <t>Lack of Causation</t>
  </si>
  <si>
    <t>International Tribunal</t>
  </si>
  <si>
    <t>Oslo</t>
    <phoneticPr fontId="4" type="noConversion"/>
  </si>
  <si>
    <t>Refiled Claim</t>
  </si>
  <si>
    <t>Young Plaintiff Count</t>
    <phoneticPr fontId="5" type="noConversion"/>
  </si>
  <si>
    <t>International Law</t>
  </si>
  <si>
    <t>Procedural Bar</t>
  </si>
  <si>
    <t>No Procedural Breach</t>
  </si>
  <si>
    <t>Ridhima Pandey v. Union of India</t>
    <phoneticPr fontId="4" type="noConversion"/>
  </si>
  <si>
    <t>https://climatecasechart.com/non-us-case/pandey-v-india/
https://www.independent.co.uk/climate-change/news/nine-ridhima-pandey-court-case-indian-government-climate-change-uttarakhand-a7661971.html
https://www.scobserver.in/cases/climate-change-obligations-of-the-state-ridhima-pandey-v-union-of-india/</t>
    <phoneticPr fontId="4" type="noConversion"/>
  </si>
  <si>
    <t>Judicial Monitoring &amp; Enforcement</t>
  </si>
  <si>
    <t>Whether the Union of India's inaction and inadequate implementation of of climate laws and international commitments infringes the fundamental rights to healthy environment; life and equality of citizens particularly young people</t>
    <phoneticPr fontId="4" type="noConversion"/>
  </si>
  <si>
    <t>UN Convention on the Rights of the Child</t>
  </si>
  <si>
    <t>India Supreme Court</t>
    <phoneticPr fontId="4" type="noConversion"/>
  </si>
  <si>
    <t xml:space="preserve"> Uttarakhand region</t>
    <phoneticPr fontId="4" type="noConversion"/>
  </si>
  <si>
    <t>US District Court for the District of Eastern Pennsylvania</t>
    <phoneticPr fontId="4" type="noConversion"/>
  </si>
  <si>
    <t>https://climatecasechart.com/case/clean-air-council-v-united-states/</t>
    <phoneticPr fontId="4" type="noConversion"/>
  </si>
  <si>
    <t>Constitutional Declaration</t>
  </si>
  <si>
    <t>High Court of Justice</t>
    <phoneticPr fontId="4" type="noConversion"/>
  </si>
  <si>
    <t>London</t>
    <phoneticPr fontId="4" type="noConversion"/>
  </si>
  <si>
    <t>Government’s alleged violation of the Climate Change Act 2008 for failure to revise its 2050 carbon emissions reduction target in light of the Paris Agreement and the latest science</t>
    <phoneticPr fontId="4" type="noConversion"/>
  </si>
  <si>
    <t>Strengthen Emission Targets</t>
  </si>
  <si>
    <t>Environmental/Administrative Law</t>
  </si>
  <si>
    <t>No Error of Law</t>
  </si>
  <si>
    <t>https://climatecasechart.com/non-us-case/future-generation-v-ministry-environment-others/
 https://www.dejusticia.org/en/25-voices-against-deforestation/
https://www.ucc.ie/en/youthclimatejustice/caselawdatabase/future-generations-v-the-ministry-of-the-environment-colombia-.html</t>
    <phoneticPr fontId="4" type="noConversion"/>
  </si>
  <si>
    <t>Multiple Defendants</t>
  </si>
  <si>
    <t>Bogota</t>
    <phoneticPr fontId="4" type="noConversion"/>
  </si>
  <si>
    <t>UNFCCC</t>
  </si>
  <si>
    <t>https://climatecasechart.com/case/aji-p-v-state-washington/</t>
    <phoneticPr fontId="4" type="noConversion"/>
  </si>
  <si>
    <t>Washington High Court</t>
    <phoneticPr fontId="4" type="noConversion"/>
  </si>
  <si>
    <t>US Florida Circuit Court, Florida Appellate Court</t>
    <phoneticPr fontId="4" type="noConversion"/>
  </si>
  <si>
    <t>Reynolds et al. v. State of Florida</t>
    <phoneticPr fontId="4" type="noConversion"/>
  </si>
  <si>
    <t>https://www.climatecasechart.com/document/armando-ferrao-carvalho-and-others-v-the-european-parliament-and-the-council_835a</t>
    <phoneticPr fontId="4" type="noConversion"/>
  </si>
  <si>
    <t>Academic/Legal Clinic</t>
  </si>
  <si>
    <t>Action seeking an injunction to order the EU to enact more stringent greenhouse gas emissions reduction targets through existing programs</t>
    <phoneticPr fontId="4" type="noConversion"/>
  </si>
  <si>
    <t>International Group</t>
  </si>
  <si>
    <t>EU</t>
    <phoneticPr fontId="4" type="noConversion"/>
  </si>
  <si>
    <t>Supranational Entity</t>
  </si>
  <si>
    <t>ENVironnement JEUnesse v. Procureur General du Canada</t>
    <phoneticPr fontId="4" type="noConversion"/>
  </si>
  <si>
    <t>Supreme Court of Canada</t>
    <phoneticPr fontId="4" type="noConversion"/>
  </si>
  <si>
    <t>Québec</t>
    <phoneticPr fontId="4" type="noConversion"/>
  </si>
  <si>
    <t>ICCPR</t>
  </si>
  <si>
    <t>Human Rights Law</t>
  </si>
  <si>
    <t xml:space="preserve">Procedural Victory Only    </t>
  </si>
  <si>
    <t>Mixed</t>
  </si>
  <si>
    <t xml:space="preserve">https://climatecasechart.com/non-us-case/la-rose-v-her-majesty-the-queen/
https://climatecasechart.com/wp-content/uploads/non-us-case-documents/2019/20191025_T-1750-19_complaint.pdf
</t>
    <phoneticPr fontId="4" type="noConversion"/>
  </si>
  <si>
    <t>Ottawa</t>
    <phoneticPr fontId="4" type="noConversion"/>
  </si>
  <si>
    <t>https://climatecasechart.com/non-us-case/mathur-et-al-v-her-majesty-the-queen-in-right-of-ontario/</t>
    <phoneticPr fontId="4" type="noConversion"/>
  </si>
  <si>
    <t>Ontario</t>
    <phoneticPr fontId="4" type="noConversion"/>
  </si>
  <si>
    <t>Superior Court of Justice</t>
    <phoneticPr fontId="4" type="noConversion"/>
  </si>
  <si>
    <t>Constitutional/Human Rights</t>
    <phoneticPr fontId="4" type="noConversion"/>
  </si>
  <si>
    <t>Youth v Mexico</t>
    <phoneticPr fontId="4" type="noConversion"/>
  </si>
  <si>
    <t>Julia Habana et. al., v. Mexico (Unconstitutionality of the reform to the Electricity Industry Law)</t>
    <phoneticPr fontId="4" type="noConversion"/>
  </si>
  <si>
    <t>Nuestros Derechos al Futuro y Medio Ambiente Sano et. al., v. Mexico (Unconstitutionality of the reform to the Electric Industry Law)</t>
    <phoneticPr fontId="4" type="noConversion"/>
  </si>
  <si>
    <t>Mexico Supreme Court</t>
    <phoneticPr fontId="4" type="noConversion"/>
  </si>
  <si>
    <t>Whether the amendment of Mexico’s Electric Industry Law violates the constitutional right to a healthy environment by giving preference to electricity generated by coal and fuel oil-fired power plants over renewables.</t>
    <phoneticPr fontId="4" type="noConversion"/>
  </si>
  <si>
    <t>https://www.climatecasechart.com/document/nuestros-derechos-al-futuro-y-medio-ambiente-sano-et-al-v-mexico-unconstitutionality-of-the-reform-to-the-electric-industry-law_8828</t>
    <phoneticPr fontId="4" type="noConversion"/>
  </si>
  <si>
    <t>https://www.climatecasechart.com/document/youth-v-government-of-mexico_9435</t>
    <phoneticPr fontId="4" type="noConversion"/>
  </si>
  <si>
    <t>Youth sought climate action by federal government.</t>
    <phoneticPr fontId="4" type="noConversion"/>
  </si>
  <si>
    <t>https://www.climatecasechart.com/document/alvarez-et-al-v-peru_b0a9</t>
    <phoneticPr fontId="4" type="noConversion"/>
  </si>
  <si>
    <t>Lima</t>
    <phoneticPr fontId="4" type="noConversion"/>
  </si>
  <si>
    <t>District Court in Administrative Matters</t>
    <phoneticPr fontId="4" type="noConversion"/>
  </si>
  <si>
    <t>Mexico City</t>
    <phoneticPr fontId="4" type="noConversion"/>
  </si>
  <si>
    <t>Berlin</t>
    <phoneticPr fontId="4" type="noConversion"/>
  </si>
  <si>
    <t>https://clxtoolkit.com/map/moncayo-v-petroamazonas-ministry-of-energy-and-non-renewable-natural-resources-and-ministry-of-the-environment/
https://amazonfrontlines.org/chronicles/amazon-lawsuit-gas-flaring/
https://amazonwatch.org/news/2021/0309-ecuador-court-orders-end-to-gas-flaring-by-oil-industry-in-amazon
https://climatecasechart.com/non-us-case/herrera-carrion-et-al-v-ministry-of-the-environment-et-al-caso-mecheros/</t>
    <phoneticPr fontId="4" type="noConversion"/>
  </si>
  <si>
    <t>Ecuador Sucumbíos Provincial Court of Justice</t>
    <phoneticPr fontId="4" type="noConversion"/>
  </si>
  <si>
    <t xml:space="preserve"> Sucumbíos</t>
  </si>
  <si>
    <t>Do-Hyun Kim et al. v. South Korea</t>
    <phoneticPr fontId="4" type="noConversion"/>
  </si>
  <si>
    <t xml:space="preserve">
Herrera Carrion et al. v. Ministry of the Environment et al. (Caso Mecherosa)
</t>
    <phoneticPr fontId="4" type="noConversion"/>
  </si>
  <si>
    <t>Whether gas flaring resulting from State’s authorization produces the violation of human rights violations of a group of nine children.</t>
    <phoneticPr fontId="4" type="noConversion"/>
  </si>
  <si>
    <t>State-owned Enterprise</t>
  </si>
  <si>
    <t>https://climatecasechart.com/non-us-case/kim-yujin-et-al-v-south-korea/</t>
    <phoneticPr fontId="4" type="noConversion"/>
  </si>
  <si>
    <t>Strengthen Emission Targets</t>
    <phoneticPr fontId="4" type="noConversion"/>
  </si>
  <si>
    <t>https://climatecasechart.com/case/11091/
https://www.ucc.ie/en/youthclimatejustice/caselawdatabase/held-v-montana.html</t>
    <phoneticPr fontId="4" type="noConversion"/>
  </si>
  <si>
    <t>Montana Supreme Court</t>
    <phoneticPr fontId="4" type="noConversion"/>
  </si>
  <si>
    <t>Big Law (Pro Bono)</t>
  </si>
  <si>
    <t>Partly Granted</t>
    <phoneticPr fontId="4" type="noConversion"/>
  </si>
  <si>
    <t>https://www.climatecasechart.com/document/fridays-for-future-estonia-v-eesti-energia_4504
https://www.riigikohus.ee/et/lahendid/?asjaNr=3-20-771/103
https://justiceandenvironment.org/wp-content/uploads/2023/11/Brief-summary-of-the-Estonian-Supreme-Court.pdf
https://fridaysforfuture.ee/en/climate-lawsuit/</t>
    <phoneticPr fontId="4" type="noConversion"/>
  </si>
  <si>
    <t>Tartu Administrative Court</t>
    <phoneticPr fontId="4" type="noConversion"/>
  </si>
  <si>
    <t>Tartu</t>
    <phoneticPr fontId="4" type="noConversion"/>
  </si>
  <si>
    <t>Environmental group challenged issuance of construction permit for an oil plant.</t>
    <phoneticPr fontId="4" type="noConversion"/>
  </si>
  <si>
    <t>Science-based Adjudication</t>
  </si>
  <si>
    <t>Tallinn Administrative Court</t>
    <phoneticPr fontId="4" type="noConversion"/>
  </si>
  <si>
    <t>Tallinn</t>
    <phoneticPr fontId="4" type="noConversion"/>
  </si>
  <si>
    <t>Rights of Nature</t>
  </si>
  <si>
    <t>https://www.climatecasechart.com/document/youth-verdict-v-waratah-coal_7679</t>
    <phoneticPr fontId="4" type="noConversion"/>
  </si>
  <si>
    <t>Queensland</t>
    <phoneticPr fontId="4" type="noConversion"/>
  </si>
  <si>
    <t>Austrialia Queensland Land Court</t>
    <phoneticPr fontId="4" type="noConversion"/>
  </si>
  <si>
    <t>Private Corporation</t>
  </si>
  <si>
    <t>Supreme Court of Argentina</t>
    <phoneticPr fontId="4" type="noConversion"/>
  </si>
  <si>
    <t>Buenos Aires</t>
    <phoneticPr fontId="4" type="noConversion"/>
  </si>
  <si>
    <t>https://www.climatecasechart.com/document/duarte-agostinho-and-others-v-portugal-and-32-other-states_e05d</t>
  </si>
  <si>
    <t>https://www.climatecasechart.com/document/sharma-and-others-v-minister-for-the-environment_a41d</t>
  </si>
  <si>
    <t>Best Interests of Child</t>
  </si>
  <si>
    <t>https://climatecasechart.com/non-us-case/petition-to-the-inter-american-commission-on-human-rights-seeking-to-redress-violations-of-the-rights-of-children-in-cite-soleil-haiti/</t>
    <phoneticPr fontId="4" type="noConversion"/>
  </si>
  <si>
    <t>ACHR</t>
  </si>
  <si>
    <t>Sao Paulo Federal Court</t>
    <phoneticPr fontId="4" type="noConversion"/>
  </si>
  <si>
    <t>Sao Paulo</t>
  </si>
  <si>
    <t>Case Justiciable</t>
  </si>
  <si>
    <t>https://climatecasechart.com/non-us-case/marlene-lemme-et-al-v-state-of-bayern-constitutional-claim/
https://climatalk.org/2024/03/18/marlene-lemme-et-al-v-state-of-bayern/</t>
    <phoneticPr fontId="4" type="noConversion"/>
  </si>
  <si>
    <t>https://climatecasechart.com/non-us-case/emma-johanna-kiehm-et-al-v-state-of-brandenburg/</t>
    <phoneticPr fontId="4" type="noConversion"/>
  </si>
  <si>
    <t>Statutory Reform</t>
  </si>
  <si>
    <t>https://climatecasechart.com/non-us-case/environmental-justice-australia-eja-v-australia/
https://envirojustice.org.au/legal-work/climate-justice/young-people-human-rights-complaint/
https://www.ucc.ie/en/youthclimatejustice/caselawdatabase/environmental-justice-australia-eja-v-australia.html</t>
    <phoneticPr fontId="4" type="noConversion"/>
  </si>
  <si>
    <t>United Nations Special Rapporteurs</t>
    <phoneticPr fontId="4" type="noConversion"/>
  </si>
  <si>
    <t>Supreme Court of New Zealand</t>
    <phoneticPr fontId="4" type="noConversion"/>
  </si>
  <si>
    <t>International Organization</t>
  </si>
  <si>
    <t>Families</t>
    <phoneticPr fontId="4" type="noConversion"/>
  </si>
  <si>
    <t>International / Regional Body</t>
  </si>
  <si>
    <t>https://climatecasechart.com/non-us-case/cosima-rade-et-al-v-baden-wurttemberg-bawu/</t>
    <phoneticPr fontId="4" type="noConversion"/>
  </si>
  <si>
    <t>https://climatecasechart.com/case/navahine-f-v-hawaii-department-of-transportation/
https://navahinevhawaiidot.ourchildrenstrust.org/</t>
    <phoneticPr fontId="4" type="noConversion"/>
  </si>
  <si>
    <t>Matteo Feind, et al. v. Niedersachsen</t>
    <phoneticPr fontId="4" type="noConversion"/>
  </si>
  <si>
    <t>The Circuit Court of the First Circuit State of Hawai'i</t>
    <phoneticPr fontId="4" type="noConversion"/>
  </si>
  <si>
    <t>Hawai</t>
    <phoneticPr fontId="4" type="noConversion"/>
  </si>
  <si>
    <t>Settlement</t>
    <phoneticPr fontId="4" type="noConversion"/>
  </si>
  <si>
    <t>https://www.climatecasechart.com/document/woodpecker-et-al-v-south-korea_5888</t>
  </si>
  <si>
    <t>Human Rights &amp; NDC Protection Claim</t>
  </si>
  <si>
    <t>Human Rights &amp; NDC Protection Claim</t>
    <phoneticPr fontId="4" type="noConversion"/>
  </si>
  <si>
    <t>ECtHR</t>
    <phoneticPr fontId="4" type="noConversion"/>
  </si>
  <si>
    <t>Quasi-judicial Body</t>
  </si>
  <si>
    <t>https://www.childrenofkabwe.com/
https://www.ucc.ie/en/youthclimatejustice/caselawdatabase/various-parties-obo-minors-v-anglo-american-south-africa-limited--others.html</t>
    <phoneticPr fontId="4" type="noConversion"/>
  </si>
  <si>
    <t>Monetary Damages</t>
  </si>
  <si>
    <t>https://climatecasechart.com/non-us-case/children-of-austria-v-austria/
https://www.fridaysforfuture.at/klimaklage/english
https://www.derstandard.at/story/3000000174348/kabarettist-frewir-brauchen-dieses-verdammte-klimaschutzgesetz</t>
    <phoneticPr fontId="4" type="noConversion"/>
  </si>
  <si>
    <t>Justiciability of Türkiye’s Updated First Nationally Determined Contribution (NDC) under the Paris Agreement; Compatibility of the NDC with Türkiye’s domestic and international legal obligations.</t>
    <phoneticPr fontId="4" type="noConversion"/>
  </si>
  <si>
    <t>https://www.climatecasechart.com/collections/atencio-v-state_0e9e80</t>
    <phoneticPr fontId="4" type="noConversion"/>
  </si>
  <si>
    <t>the Supreme Court of New Mexico</t>
    <phoneticPr fontId="4" type="noConversion"/>
  </si>
  <si>
    <t>New Mexico</t>
    <phoneticPr fontId="4" type="noConversion"/>
  </si>
  <si>
    <t>Norwegian Supreme Court</t>
    <phoneticPr fontId="4" type="noConversion"/>
  </si>
  <si>
    <t>NGO Only</t>
  </si>
  <si>
    <t>United States Central District of California (C.D. Cal.)</t>
    <phoneticPr fontId="4" type="noConversion"/>
  </si>
  <si>
    <t>California youth plaintiffs' lawsuit asserting that the U.S. Environmental Protection Agency has violated the U.S. Constitution by allowing harmful levels of climate pollution to accumulate in the air.</t>
    <phoneticPr fontId="4" type="noConversion"/>
  </si>
  <si>
    <t>Genesis B. v. U.S. Environmental Protection Agency</t>
    <phoneticPr fontId="4" type="noConversion"/>
  </si>
  <si>
    <t>Turkey Constitutional Court</t>
    <phoneticPr fontId="4" type="noConversion"/>
  </si>
  <si>
    <t>Alaska Superior Court</t>
    <phoneticPr fontId="4" type="noConversion"/>
  </si>
  <si>
    <t xml:space="preserve">
Whether the German Federal Climate Protection Act violate the principle of intergenerational freedom and the right to life and physical integrity</t>
    <phoneticPr fontId="4" type="noConversion"/>
  </si>
  <si>
    <t>Nagoya District Court</t>
    <phoneticPr fontId="4" type="noConversion"/>
  </si>
  <si>
    <t>Nagoya</t>
  </si>
  <si>
    <t>Civil Law</t>
  </si>
  <si>
    <t>https://climatecasechart.com/non-us-case/community-law-and-mediation-centre-and-others-v-ireland/
https://www.euronews.com/green/2024/09/18/grandad-youth-activist-and-toddler-sue-irish-government-for-breaching-rights-over-climate-</t>
    <phoneticPr fontId="4" type="noConversion"/>
  </si>
  <si>
    <t>Group of Youths</t>
    <phoneticPr fontId="4" type="noConversion"/>
  </si>
  <si>
    <t>Duration (Days)</t>
    <phoneticPr fontId="5" type="noConversion"/>
  </si>
  <si>
    <t>Final Instance</t>
    <phoneticPr fontId="4" type="noConversion"/>
  </si>
  <si>
    <t xml:space="preserve">Defendant </t>
    <phoneticPr fontId="5" type="noConversion"/>
  </si>
  <si>
    <t>Action for declaratory and injunctive relief regarding the obligation under the public trust doctrine of the Arizona Department of Environmental Quality and Arizona officials to act to protect the atmosphere from climate change impacts.</t>
    <phoneticPr fontId="4" type="noConversion"/>
  </si>
  <si>
    <t>Challenge to adequacy of Massachusetts programs to reduce greenhouse gas emissions.</t>
    <phoneticPr fontId="4" type="noConversion"/>
  </si>
  <si>
    <t xml:space="preserve">The class action seeks compensation for lead poisoning of these children and for women under 50 who have been poisoned and who have, or may become pregnant, in the future. The cost of remediation of homes and of future blood lead screening is also claimed.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</si>
</sst>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font>
      <sz val="12"/>
      <color theme="1"/>
      <name val="等线"/>
      <family val="2"/>
      <charset val="134"/>
      <scheme val="minor"/>
    </font>
    <font>
      <u/>
      <sz val="12"/>
      <color theme="10"/>
      <name val="等线"/>
      <family val="2"/>
      <charset val="134"/>
      <scheme val="minor"/>
    </font>
    <font>
      <sz val="12"/>
      <color theme="1"/>
      <name val="等线"/>
      <family val="2"/>
      <scheme val="minor"/>
    </font>
    <font>
      <b/>
      <sz val="24"/>
      <color theme="1"/>
      <name val="Times New Roman"/>
      <family val="1"/>
    </font>
    <font>
      <sz val="9"/>
      <name val="等线"/>
      <family val="2"/>
      <charset val="134"/>
      <scheme val="minor"/>
    </font>
    <font>
      <sz val="9"/>
      <name val="等线"/>
      <family val="3"/>
      <charset val="134"/>
      <scheme val="minor"/>
    </font>
    <font>
      <sz val="24"/>
      <color theme="1"/>
      <name val="Times New Roman"/>
      <family val="1"/>
    </font>
    <font>
      <u/>
      <sz val="12"/>
      <color theme="10"/>
      <name val="等线"/>
      <family val="2"/>
      <scheme val="minor"/>
    </font>
    <font>
      <u/>
      <sz val="12"/>
      <color theme="1"/>
      <name val="等线"/>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applyNumberFormat="0" applyFill="0" applyBorder="0" applyAlignment="0" applyProtection="0">
      <alignment vertical="center"/>
    </xf>
    <xf numFmtId="0" fontId="2" fillId="0" borderId="0"/>
    <xf numFmtId="0" fontId="7" fillId="0" borderId="0" applyNumberFormat="0" applyFill="0" applyBorder="0" applyAlignment="0" applyProtection="0"/>
  </cellStyleXfs>
  <cellXfs count="17">
    <xf numFmtId="0" fontId="0" fillId="0" borderId="0" xfId="0">
      <alignment vertical="center"/>
    </xf>
    <xf numFmtId="0" fontId="3" fillId="2" borderId="1" xfId="2" applyFont="1" applyFill="1" applyBorder="1" applyAlignment="1">
      <alignment horizontal="center" vertical="center" wrapText="1"/>
    </xf>
    <xf numFmtId="0" fontId="3" fillId="3"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6" fillId="0" borderId="0" xfId="2" applyFont="1" applyAlignment="1">
      <alignment horizontal="center" vertical="center" wrapText="1"/>
    </xf>
    <xf numFmtId="176" fontId="3" fillId="2" borderId="1" xfId="2" applyNumberFormat="1" applyFont="1" applyFill="1" applyBorder="1" applyAlignment="1">
      <alignment horizontal="center" vertical="center" wrapText="1"/>
    </xf>
    <xf numFmtId="176" fontId="6" fillId="0" borderId="1" xfId="2" applyNumberFormat="1" applyFont="1" applyBorder="1" applyAlignment="1">
      <alignment horizontal="center" vertical="center" wrapText="1"/>
    </xf>
    <xf numFmtId="0" fontId="2" fillId="0" borderId="0" xfId="2" applyAlignment="1">
      <alignment horizontal="center" vertical="center"/>
    </xf>
    <xf numFmtId="14" fontId="6" fillId="0" borderId="1" xfId="2" applyNumberFormat="1" applyFont="1" applyBorder="1" applyAlignment="1">
      <alignment horizontal="center" vertical="center" wrapText="1"/>
    </xf>
    <xf numFmtId="0" fontId="6" fillId="0" borderId="1" xfId="2" applyFont="1" applyBorder="1" applyAlignment="1">
      <alignment horizontal="left" vertical="top" wrapText="1"/>
    </xf>
    <xf numFmtId="0" fontId="6" fillId="0" borderId="0" xfId="2" applyFont="1" applyAlignment="1">
      <alignment horizontal="left" vertical="top" wrapText="1"/>
    </xf>
    <xf numFmtId="0" fontId="2" fillId="0" borderId="0" xfId="2" applyAlignment="1">
      <alignment horizontal="left" vertical="top"/>
    </xf>
    <xf numFmtId="0" fontId="1" fillId="0" borderId="1" xfId="1" applyFill="1" applyBorder="1" applyAlignment="1">
      <alignment horizontal="left" vertical="top" wrapText="1"/>
    </xf>
    <xf numFmtId="0" fontId="8" fillId="0" borderId="1" xfId="3" applyFont="1" applyFill="1" applyBorder="1" applyAlignment="1">
      <alignment horizontal="left" vertical="top" wrapText="1"/>
    </xf>
    <xf numFmtId="0" fontId="2" fillId="0" borderId="1" xfId="2" applyBorder="1" applyAlignment="1">
      <alignment horizontal="left" vertical="top"/>
    </xf>
    <xf numFmtId="0" fontId="7" fillId="0" borderId="1" xfId="3" applyFill="1" applyBorder="1" applyAlignment="1">
      <alignment horizontal="left" vertical="top" wrapText="1"/>
    </xf>
    <xf numFmtId="0" fontId="3" fillId="3" borderId="1" xfId="2" applyFont="1" applyFill="1" applyBorder="1" applyAlignment="1">
      <alignment horizontal="center" vertical="center" wrapText="1"/>
    </xf>
  </cellXfs>
  <cellStyles count="4">
    <cellStyle name="常规" xfId="0" builtinId="0"/>
    <cellStyle name="常规 2" xfId="2" xr:uid="{1ED66FA6-12C1-BD41-AA0F-BA9E640BABC0}"/>
    <cellStyle name="超链接" xfId="1" builtinId="8"/>
    <cellStyle name="超链接 2" xfId="3" xr:uid="{75D7EEF6-013B-D34F-808F-191CF43B88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limatecasechart.com/case/sanders-reed-v-martinez/" TargetMode="External"/><Relationship Id="rId21" Type="http://schemas.openxmlformats.org/officeDocument/2006/relationships/hyperlink" Target="https://climatecasechart.com/non-us-case/thomas-de-freitas-v-guyana/" TargetMode="External"/><Relationship Id="rId42" Type="http://schemas.openxmlformats.org/officeDocument/2006/relationships/hyperlink" Target="https://climatecasechart.com/non-us-case/sacchi-et-al-v-argentina-et-al/" TargetMode="External"/><Relationship Id="rId47" Type="http://schemas.openxmlformats.org/officeDocument/2006/relationships/hyperlink" Target="https://climatecasechart.com/case/genesis-b-v-us-environmental-protection-agency/" TargetMode="External"/><Relationship Id="rId63" Type="http://schemas.openxmlformats.org/officeDocument/2006/relationships/hyperlink" Target="https://www.climatecasechart.com/document/armando-ferrao-carvalho-and-others-v-the-european-parliament-and-the-council_835a" TargetMode="External"/><Relationship Id="rId68" Type="http://schemas.openxmlformats.org/officeDocument/2006/relationships/hyperlink" Target="https://climatecasechart.com/non-us-case/kim-yujin-et-al-v-south-korea/" TargetMode="External"/><Relationship Id="rId2" Type="http://schemas.openxmlformats.org/officeDocument/2006/relationships/hyperlink" Target="https://climatecasechart.com/non-us-case/steinmetz-et-al-v-germany-ii/" TargetMode="External"/><Relationship Id="rId16" Type="http://schemas.openxmlformats.org/officeDocument/2006/relationships/hyperlink" Target="https://climatecasechart.com/non-us-case/uricchio-v-italy-and-32-other-states/" TargetMode="External"/><Relationship Id="rId29" Type="http://schemas.openxmlformats.org/officeDocument/2006/relationships/hyperlink" Target="https://climatecasechart.com/non-us-case/otis-hoffman-et-al-v-state-of-mecklenburg-vorpommern/" TargetMode="External"/><Relationship Id="rId11" Type="http://schemas.openxmlformats.org/officeDocument/2006/relationships/hyperlink" Target="https://climatecasechart.com/non-us-case/the-north-sea-fields-case-greenpeace-nordic-and-nature-youth-v-energy-ministry/" TargetMode="External"/><Relationship Id="rId24" Type="http://schemas.openxmlformats.org/officeDocument/2006/relationships/hyperlink" Target="https://climatecasechart.com/non-us-case/soubeste-and-others-v-austria-and-11-other-states/" TargetMode="External"/><Relationship Id="rId32" Type="http://schemas.openxmlformats.org/officeDocument/2006/relationships/hyperlink" Target="https://climatecasechart.com/non-us-case/luca-salis-et-al-v-state-of-sachsen-anhalt/" TargetMode="External"/><Relationship Id="rId37" Type="http://schemas.openxmlformats.org/officeDocument/2006/relationships/hyperlink" Target="https://climatecasechart.com/non-us-case/engels-and-others-v-germany/" TargetMode="External"/><Relationship Id="rId40" Type="http://schemas.openxmlformats.org/officeDocument/2006/relationships/hyperlink" Target="https://climatecasechart.com/non-us-case/pandey-v-india/" TargetMode="External"/><Relationship Id="rId45" Type="http://schemas.openxmlformats.org/officeDocument/2006/relationships/hyperlink" Target="https://climatecasechart.com/case/reynolds-v-florida/" TargetMode="External"/><Relationship Id="rId53" Type="http://schemas.openxmlformats.org/officeDocument/2006/relationships/hyperlink" Target="https://climatecasechart.com/non-us-case/ali-v-federation-of-pakistan-2/" TargetMode="External"/><Relationship Id="rId58" Type="http://schemas.openxmlformats.org/officeDocument/2006/relationships/hyperlink" Target="https://www.climatecasechart.com/collections/butler-v-brewer_e3f833" TargetMode="External"/><Relationship Id="rId66" Type="http://schemas.openxmlformats.org/officeDocument/2006/relationships/hyperlink" Target="https://www.climatecasechart.com/document/nuestros-derechos-al-futuro-y-medio-ambiente-sano-et-al-v-mexico-unconstitutionality-of-the-reform-to-the-electric-industry-law_8828" TargetMode="External"/><Relationship Id="rId5" Type="http://schemas.openxmlformats.org/officeDocument/2006/relationships/hyperlink" Target="https://climatecasechart.com/case/farb-v-kansas/" TargetMode="External"/><Relationship Id="rId61" Type="http://schemas.openxmlformats.org/officeDocument/2006/relationships/hyperlink" Target="https://climatecasechart.com/case/clean-air-council-v-united-states/" TargetMode="External"/><Relationship Id="rId19" Type="http://schemas.openxmlformats.org/officeDocument/2006/relationships/hyperlink" Target="https://climatecasechart.com/non-us-case/youth-climate-case-japan-for-tomorrow/" TargetMode="External"/><Relationship Id="rId14" Type="http://schemas.openxmlformats.org/officeDocument/2006/relationships/hyperlink" Target="https://climatecasechart.com/non-us-case/neubauer-et-al-v-germany/" TargetMode="External"/><Relationship Id="rId22" Type="http://schemas.openxmlformats.org/officeDocument/2006/relationships/hyperlink" Target="https://climatecasechart.com/case/svitak-v-washington/" TargetMode="External"/><Relationship Id="rId27" Type="http://schemas.openxmlformats.org/officeDocument/2006/relationships/hyperlink" Target="https://climatecasechart.com/case/sinnok-v-alaska/" TargetMode="External"/><Relationship Id="rId30" Type="http://schemas.openxmlformats.org/officeDocument/2006/relationships/hyperlink" Target="https://climatecasechart.com/non-us-case/matteo-feind-et-al-v-niedersachsen/" TargetMode="External"/><Relationship Id="rId35" Type="http://schemas.openxmlformats.org/officeDocument/2006/relationships/hyperlink" Target="https://climatecasechart.com/case/funk-v-wolf/" TargetMode="External"/><Relationship Id="rId43" Type="http://schemas.openxmlformats.org/officeDocument/2006/relationships/hyperlink" Target="https://climatecasechart.com/non-us-case/indonesian-youths-and-others-v-indonesia/" TargetMode="External"/><Relationship Id="rId48" Type="http://schemas.openxmlformats.org/officeDocument/2006/relationships/hyperlink" Target="https://climatecasechart.com/non-us-case/greenpeace-nordic-assn-v-ministry-of-petroleum-and-energy-ecthr/" TargetMode="External"/><Relationship Id="rId56" Type="http://schemas.openxmlformats.org/officeDocument/2006/relationships/hyperlink" Target="https://www.climatecasechart.com/document/lee-and-others-vs-legislative-yuan-constitutional-case_0992?q=children&amp;y=2024&amp;y=2025&amp;cpl=category%2FYouth%2FChildren&amp;cpl=category%2FSuits+against+governments" TargetMode="External"/><Relationship Id="rId64" Type="http://schemas.openxmlformats.org/officeDocument/2006/relationships/hyperlink" Target="https://climatecasechart.com/non-us-case/mathur-et-al-v-her-majesty-the-queen-in-right-of-ontario/" TargetMode="External"/><Relationship Id="rId69" Type="http://schemas.openxmlformats.org/officeDocument/2006/relationships/hyperlink" Target="https://www.climatecasechart.com/document/youth-verdict-v-waratah-coal_7679" TargetMode="External"/><Relationship Id="rId8" Type="http://schemas.openxmlformats.org/officeDocument/2006/relationships/hyperlink" Target="https://climatecasechart.com/case/2436/" TargetMode="External"/><Relationship Id="rId51" Type="http://schemas.openxmlformats.org/officeDocument/2006/relationships/hyperlink" Target="https://climatecasechart.com/non-us-case/as-sa-enb-v-presidency-of-turkiye-the-ministry-of-environment-urbanization-and-climate-change/" TargetMode="External"/><Relationship Id="rId72" Type="http://schemas.openxmlformats.org/officeDocument/2006/relationships/hyperlink" Target="https://climatecasechart.com/non-us-case/cosima-rade-et-al-v-baden-wurttemberg-bawu/" TargetMode="External"/><Relationship Id="rId3" Type="http://schemas.openxmlformats.org/officeDocument/2006/relationships/hyperlink" Target="https://climatecasechart.com/non-us-case/steinmetz-et-al-v-germany/" TargetMode="External"/><Relationship Id="rId12" Type="http://schemas.openxmlformats.org/officeDocument/2006/relationships/hyperlink" Target="https://climatecasechart.com/non-us-case/fridays-for-future-estonia-vs-environmental-board/" TargetMode="External"/><Relationship Id="rId17" Type="http://schemas.openxmlformats.org/officeDocument/2006/relationships/hyperlink" Target="https://climatecasechart.com/non-us-case/de-conto-v-italy-and-32-other-states/" TargetMode="External"/><Relationship Id="rId25" Type="http://schemas.openxmlformats.org/officeDocument/2006/relationships/hyperlink" Target="https://climatecasechart.com/non-us-case/six-youths-v-minister-of-environment-and-others/" TargetMode="External"/><Relationship Id="rId33" Type="http://schemas.openxmlformats.org/officeDocument/2006/relationships/hyperlink" Target="https://climatecasechart.com/non-us-case/leonie-frank-et-al-v-state-of-saarland/" TargetMode="External"/><Relationship Id="rId38" Type="http://schemas.openxmlformats.org/officeDocument/2006/relationships/hyperlink" Target="https://climatecasechart.com/non-us-case/asociacion-civil-por-la-justicia-ambiental-v-province-of-entre-rios-et-al/" TargetMode="External"/><Relationship Id="rId46" Type="http://schemas.openxmlformats.org/officeDocument/2006/relationships/hyperlink" Target="https://climatecasechart.com/non-us-case/greenpeace-nordic-assn-and-nature-youth-v-norway-ministry-of-petroleum-and-energy/" TargetMode="External"/><Relationship Id="rId59" Type="http://schemas.openxmlformats.org/officeDocument/2006/relationships/hyperlink" Target="https://climatecasechart.com/case/foster-v-washington-department-of-ecology/" TargetMode="External"/><Relationship Id="rId67" Type="http://schemas.openxmlformats.org/officeDocument/2006/relationships/hyperlink" Target="https://www.climatecasechart.com/document/alvarez-et-al-v-peru_b0a9" TargetMode="External"/><Relationship Id="rId20" Type="http://schemas.openxmlformats.org/officeDocument/2006/relationships/hyperlink" Target="https://climatecasechart.com/non-us-case/tristan-runge-et-al-v-state-of-sachsen/" TargetMode="External"/><Relationship Id="rId41" Type="http://schemas.openxmlformats.org/officeDocument/2006/relationships/hyperlink" Target="https://www.ucc.ie/en/youthclimatejustice/caselawdatabase/oposa-v-factoran.html" TargetMode="External"/><Relationship Id="rId54" Type="http://schemas.openxmlformats.org/officeDocument/2006/relationships/hyperlink" Target="https://www.climatecasechart.com/document/liao-and-others-v-ministry-of-environment-administrative-case_2e2d?q=children&amp;y=2024&amp;y=2025&amp;cpl=category%2FYouth%2FChildren&amp;cpl=category%2FSuits+against+governments" TargetMode="External"/><Relationship Id="rId62" Type="http://schemas.openxmlformats.org/officeDocument/2006/relationships/hyperlink" Target="https://climatecasechart.com/case/aji-p-v-state-washington/" TargetMode="External"/><Relationship Id="rId70" Type="http://schemas.openxmlformats.org/officeDocument/2006/relationships/hyperlink" Target="https://climatecasechart.com/non-us-case/petition-to-the-inter-american-commission-on-human-rights-seeking-to-redress-violations-of-the-rights-of-children-in-cite-soleil-haiti/" TargetMode="External"/><Relationship Id="rId1" Type="http://schemas.openxmlformats.org/officeDocument/2006/relationships/hyperlink" Target="https://climatecasechart.com/non-us-case/steinmetz-et-al-v-germany-iii/" TargetMode="External"/><Relationship Id="rId6" Type="http://schemas.openxmlformats.org/officeDocument/2006/relationships/hyperlink" Target="https://climatecasechart.com/case/aronow-v-minnesota/" TargetMode="External"/><Relationship Id="rId15" Type="http://schemas.openxmlformats.org/officeDocument/2006/relationships/hyperlink" Target="https://climatecasechart.com/non-us-case/childrens-petition-to-the-united-nations-secretary-general-to-declare-a-climate-emergency/" TargetMode="External"/><Relationship Id="rId23" Type="http://schemas.openxmlformats.org/officeDocument/2006/relationships/hyperlink" Target="https://climatecasechart.com/non-us-case/students-for-climate-solutions-inc-v-minister-of-energy-and-resources/" TargetMode="External"/><Relationship Id="rId28" Type="http://schemas.openxmlformats.org/officeDocument/2006/relationships/hyperlink" Target="https://climatecasechart.com/non-us-case/plan-b-earth-others-v-secretary-state-business-energy-industrial-strategy/" TargetMode="External"/><Relationship Id="rId36" Type="http://schemas.openxmlformats.org/officeDocument/2006/relationships/hyperlink" Target="https://climatecasechart.com/non-us-case/fridays-for-future-estonia-vs-environmental-board/" TargetMode="External"/><Relationship Id="rId49" Type="http://schemas.openxmlformats.org/officeDocument/2006/relationships/hyperlink" Target="https://climatecasechart.com/non-us-case/environnement-jeunesse-v-canadian-government/" TargetMode="External"/><Relationship Id="rId57" Type="http://schemas.openxmlformats.org/officeDocument/2006/relationships/hyperlink" Target="https://climatecasechart.com/case/chernaik-v-kitzhaber/" TargetMode="External"/><Relationship Id="rId10" Type="http://schemas.openxmlformats.org/officeDocument/2006/relationships/hyperlink" Target="https://climatecasechart.com/non-us-case/nz-students-for-climate-solutions-and-uk-youth-climate-coalition-v-board-of-bp/" TargetMode="External"/><Relationship Id="rId31" Type="http://schemas.openxmlformats.org/officeDocument/2006/relationships/hyperlink" Target="https://climatecasechart.com/case/martinez-v-colorado-oil-gas-conservation-commission/" TargetMode="External"/><Relationship Id="rId44" Type="http://schemas.openxmlformats.org/officeDocument/2006/relationships/hyperlink" Target="https://climatecasechart.com/case/sagoonick-v-state/" TargetMode="External"/><Relationship Id="rId52" Type="http://schemas.openxmlformats.org/officeDocument/2006/relationships/hyperlink" Target="https://climatecasechart.com/non-us-case/plan-b-earth-and-others-v-prime-minister/" TargetMode="External"/><Relationship Id="rId60" Type="http://schemas.openxmlformats.org/officeDocument/2006/relationships/hyperlink" Target="https://climatecasechart.com/non-us-case/push-sweden-nature-youth-sweden-et-al-v-government-of-sweden/" TargetMode="External"/><Relationship Id="rId65" Type="http://schemas.openxmlformats.org/officeDocument/2006/relationships/hyperlink" Target="https://www.climatecasechart.com/document/youth-v-government-of-mexico_9435" TargetMode="External"/><Relationship Id="rId73" Type="http://schemas.openxmlformats.org/officeDocument/2006/relationships/hyperlink" Target="https://www.climatecasechart.com/collections/atencio-v-state_0e9e80" TargetMode="External"/><Relationship Id="rId4" Type="http://schemas.openxmlformats.org/officeDocument/2006/relationships/hyperlink" Target="https://climatecasechart.com/non-us-case/jannis-krusmann-et-al-v-nordrhein-westfalen-nrw/" TargetMode="External"/><Relationship Id="rId9" Type="http://schemas.openxmlformats.org/officeDocument/2006/relationships/hyperlink" Target="https://climatecasechart.com/case/alec-l-v-mccarthy/" TargetMode="External"/><Relationship Id="rId13" Type="http://schemas.openxmlformats.org/officeDocument/2006/relationships/hyperlink" Target="https://climatecasechart.com/non-us-case/petition-of-torres-strait-islanders-to-the-united-nations-human-rights-committee-alleging-violations-stemming-from-australias-inaction-on-climate-change/" TargetMode="External"/><Relationship Id="rId18" Type="http://schemas.openxmlformats.org/officeDocument/2006/relationships/hyperlink" Target="https://climatecasechart.com/non-us-case/as-sa-enb-v-presidency-of-the-republic-of-turkiye/?utm_source=chatgpt.com" TargetMode="External"/><Relationship Id="rId39" Type="http://schemas.openxmlformats.org/officeDocument/2006/relationships/hyperlink" Target="https://climatecasechart.com/non-us-case/alena-hochstadt-et-al-v-state-of-hesse/" TargetMode="External"/><Relationship Id="rId34" Type="http://schemas.openxmlformats.org/officeDocument/2006/relationships/hyperlink" Target="https://climatecasechart.com/case/kanuk-v-alaska/" TargetMode="External"/><Relationship Id="rId50" Type="http://schemas.openxmlformats.org/officeDocument/2006/relationships/hyperlink" Target="https://climatecasechart.com/non-us-case/africa-climate-alliance-et-al-v-minister-of-mineral-resources-energy-et-al-cancelcoal-case/" TargetMode="External"/><Relationship Id="rId55" Type="http://schemas.openxmlformats.org/officeDocument/2006/relationships/hyperlink" Target="https://www.climatecasechart.com/document/juliana-youth-v-united-states-of-america-jovenes-ex-juliana-v-estados-unidos-de-america_92f3?q=children&amp;y=2024&amp;y=2025&amp;cpl=category%2FYouth%2FChildren&amp;cpl=category%2FSuits+against+governments" TargetMode="External"/><Relationship Id="rId7" Type="http://schemas.openxmlformats.org/officeDocument/2006/relationships/hyperlink" Target="https://climatecasechart.com/case/blades-v-california/" TargetMode="External"/><Relationship Id="rId71" Type="http://schemas.openxmlformats.org/officeDocument/2006/relationships/hyperlink" Target="https://climatecasechart.com/non-us-case/emma-johanna-kiehm-et-al-v-state-of-brandenbu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4B7DB-D516-424C-BC6E-83524A9CF269}">
  <dimension ref="A1:AM96"/>
  <sheetViews>
    <sheetView tabSelected="1" zoomScale="50" zoomScaleNormal="65" workbookViewId="0">
      <pane ySplit="2" topLeftCell="A3" activePane="bottomLeft" state="frozen"/>
      <selection pane="bottomLeft" activeCell="C3" sqref="C3"/>
    </sheetView>
  </sheetViews>
  <sheetFormatPr baseColWidth="10" defaultRowHeight="16"/>
  <cols>
    <col min="1" max="1" width="10.1640625" style="11" bestFit="1" customWidth="1"/>
    <col min="2" max="2" width="48.83203125" style="7" customWidth="1"/>
    <col min="3" max="3" width="27.6640625" style="7" customWidth="1"/>
    <col min="4" max="4" width="13.5" style="7" customWidth="1"/>
    <col min="5" max="6" width="26.1640625" style="7" bestFit="1" customWidth="1"/>
    <col min="7" max="7" width="18.5" style="7" customWidth="1"/>
    <col min="8" max="8" width="24.5" style="7" bestFit="1" customWidth="1"/>
    <col min="9" max="9" width="24.5" style="7" customWidth="1"/>
    <col min="10" max="11" width="25.5" style="7" customWidth="1"/>
    <col min="12" max="12" width="21.1640625" style="11" customWidth="1"/>
    <col min="13" max="13" width="18.5" style="11" customWidth="1"/>
    <col min="14" max="15" width="30.6640625" style="11" customWidth="1"/>
    <col min="16" max="16" width="22.33203125" style="11" customWidth="1"/>
    <col min="17" max="18" width="18.33203125" style="11" customWidth="1"/>
    <col min="19" max="19" width="29" style="11" customWidth="1"/>
    <col min="20" max="20" width="43.1640625" style="11" customWidth="1"/>
    <col min="21" max="21" width="62.6640625" style="11" customWidth="1"/>
    <col min="22" max="30" width="33.33203125" style="11" customWidth="1"/>
    <col min="31" max="31" width="40.6640625" style="11" customWidth="1"/>
    <col min="32" max="33" width="36.1640625" style="11" customWidth="1"/>
    <col min="34" max="34" width="28" style="11" customWidth="1"/>
    <col min="35" max="35" width="21.83203125" style="11" customWidth="1"/>
    <col min="36" max="36" width="24.1640625" style="11" customWidth="1"/>
    <col min="37" max="37" width="45.1640625" style="11" customWidth="1"/>
    <col min="38" max="38" width="33.6640625" style="11" customWidth="1"/>
    <col min="39" max="39" width="27.83203125" style="11" bestFit="1" customWidth="1"/>
    <col min="40" max="16384" width="10.83203125" style="11"/>
  </cols>
  <sheetData>
    <row r="1" spans="1:39" s="7" customFormat="1" ht="100" customHeight="1">
      <c r="A1" s="2" t="s">
        <v>0</v>
      </c>
      <c r="B1" s="2" t="s">
        <v>1</v>
      </c>
      <c r="C1" s="2" t="s">
        <v>2</v>
      </c>
      <c r="D1" s="16" t="s">
        <v>3</v>
      </c>
      <c r="E1" s="16"/>
      <c r="F1" s="16"/>
      <c r="G1" s="16"/>
      <c r="H1" s="16" t="s">
        <v>4</v>
      </c>
      <c r="I1" s="16"/>
      <c r="J1" s="16"/>
      <c r="K1" s="16"/>
      <c r="L1" s="16" t="s">
        <v>5</v>
      </c>
      <c r="M1" s="16"/>
      <c r="N1" s="16" t="s">
        <v>6</v>
      </c>
      <c r="O1" s="16"/>
      <c r="P1" s="16"/>
      <c r="Q1" s="16"/>
      <c r="R1" s="16"/>
      <c r="S1" s="16"/>
      <c r="T1" s="2" t="s">
        <v>585</v>
      </c>
      <c r="U1" s="2" t="s">
        <v>7</v>
      </c>
      <c r="V1" s="2" t="s">
        <v>333</v>
      </c>
      <c r="W1" s="16" t="s">
        <v>343</v>
      </c>
      <c r="X1" s="16"/>
      <c r="Y1" s="16"/>
      <c r="Z1" s="16"/>
      <c r="AA1" s="16"/>
      <c r="AB1" s="16"/>
      <c r="AC1" s="16"/>
      <c r="AD1" s="16"/>
      <c r="AE1" s="16" t="s">
        <v>348</v>
      </c>
      <c r="AF1" s="16"/>
      <c r="AG1" s="16"/>
      <c r="AH1" s="16" t="s">
        <v>8</v>
      </c>
      <c r="AI1" s="16"/>
      <c r="AJ1" s="16"/>
      <c r="AK1" s="2" t="s">
        <v>349</v>
      </c>
      <c r="AL1" s="2" t="s">
        <v>337</v>
      </c>
      <c r="AM1" s="2" t="s">
        <v>9</v>
      </c>
    </row>
    <row r="2" spans="1:39" s="10" customFormat="1" ht="100" customHeight="1">
      <c r="A2" s="1"/>
      <c r="B2" s="1"/>
      <c r="C2" s="1"/>
      <c r="D2" s="1" t="s">
        <v>10</v>
      </c>
      <c r="E2" s="5" t="s">
        <v>11</v>
      </c>
      <c r="F2" s="5" t="s">
        <v>12</v>
      </c>
      <c r="G2" s="1" t="s">
        <v>583</v>
      </c>
      <c r="H2" s="1" t="s">
        <v>13</v>
      </c>
      <c r="I2" s="1" t="s">
        <v>339</v>
      </c>
      <c r="J2" s="1" t="s">
        <v>14</v>
      </c>
      <c r="K2" s="1" t="s">
        <v>15</v>
      </c>
      <c r="L2" s="1" t="s">
        <v>584</v>
      </c>
      <c r="M2" s="1" t="s">
        <v>336</v>
      </c>
      <c r="N2" s="1" t="s">
        <v>350</v>
      </c>
      <c r="O2" s="1" t="s">
        <v>352</v>
      </c>
      <c r="P2" s="1" t="s">
        <v>353</v>
      </c>
      <c r="Q2" s="1" t="s">
        <v>448</v>
      </c>
      <c r="R2" s="1" t="s">
        <v>354</v>
      </c>
      <c r="S2" s="1" t="s">
        <v>356</v>
      </c>
      <c r="T2" s="1"/>
      <c r="U2" s="1"/>
      <c r="V2" s="1"/>
      <c r="W2" s="1" t="s">
        <v>361</v>
      </c>
      <c r="X2" s="1" t="s">
        <v>372</v>
      </c>
      <c r="Y2" s="1" t="s">
        <v>375</v>
      </c>
      <c r="Z2" s="1" t="s">
        <v>377</v>
      </c>
      <c r="AA2" s="1" t="s">
        <v>436</v>
      </c>
      <c r="AB2" s="1" t="s">
        <v>390</v>
      </c>
      <c r="AC2" s="1" t="s">
        <v>379</v>
      </c>
      <c r="AD2" s="1" t="s">
        <v>380</v>
      </c>
      <c r="AE2" s="1" t="s">
        <v>345</v>
      </c>
      <c r="AF2" s="1" t="s">
        <v>346</v>
      </c>
      <c r="AG2" s="1" t="s">
        <v>347</v>
      </c>
      <c r="AH2" s="1" t="s">
        <v>364</v>
      </c>
      <c r="AI2" s="1" t="s">
        <v>365</v>
      </c>
      <c r="AJ2" s="1" t="s">
        <v>368</v>
      </c>
      <c r="AK2" s="1"/>
      <c r="AL2" s="1"/>
      <c r="AM2" s="1"/>
    </row>
    <row r="3" spans="1:39" s="7" customFormat="1" ht="100" customHeight="1">
      <c r="A3" s="9">
        <v>1</v>
      </c>
      <c r="B3" s="3" t="s">
        <v>389</v>
      </c>
      <c r="C3" s="3" t="s">
        <v>16</v>
      </c>
      <c r="D3" s="3">
        <f t="shared" ref="D3:D34" si="0">YEAR(E3)</f>
        <v>1990</v>
      </c>
      <c r="E3" s="6">
        <v>32933</v>
      </c>
      <c r="F3" s="6">
        <v>34180</v>
      </c>
      <c r="G3" s="3">
        <f t="shared" ref="G3:G13" si="1">F3-E3</f>
        <v>1247</v>
      </c>
      <c r="H3" s="3" t="s">
        <v>17</v>
      </c>
      <c r="I3" s="3" t="s">
        <v>340</v>
      </c>
      <c r="J3" s="3" t="s">
        <v>18</v>
      </c>
      <c r="K3" s="3" t="s">
        <v>338</v>
      </c>
      <c r="L3" s="9" t="s">
        <v>19</v>
      </c>
      <c r="M3" s="9" t="s">
        <v>392</v>
      </c>
      <c r="N3" s="9" t="s">
        <v>351</v>
      </c>
      <c r="O3" s="9" t="s">
        <v>359</v>
      </c>
      <c r="P3" s="9" t="s">
        <v>355</v>
      </c>
      <c r="Q3" s="9">
        <v>45</v>
      </c>
      <c r="R3" s="9" t="s">
        <v>360</v>
      </c>
      <c r="S3" s="9" t="s">
        <v>357</v>
      </c>
      <c r="T3" s="9" t="s">
        <v>342</v>
      </c>
      <c r="U3" s="9" t="s">
        <v>362</v>
      </c>
      <c r="V3" s="9" t="s">
        <v>363</v>
      </c>
      <c r="W3" s="9" t="s">
        <v>371</v>
      </c>
      <c r="X3" s="9" t="s">
        <v>373</v>
      </c>
      <c r="Y3" s="9" t="s">
        <v>374</v>
      </c>
      <c r="Z3" s="9"/>
      <c r="AA3" s="9"/>
      <c r="AB3" s="9" t="s">
        <v>367</v>
      </c>
      <c r="AC3" s="9"/>
      <c r="AD3" s="9"/>
      <c r="AE3" s="9"/>
      <c r="AF3" s="9"/>
      <c r="AG3" s="9"/>
      <c r="AH3" s="9" t="s">
        <v>366</v>
      </c>
      <c r="AI3" s="9" t="s">
        <v>367</v>
      </c>
      <c r="AJ3" s="9" t="s">
        <v>369</v>
      </c>
      <c r="AK3" s="9" t="s">
        <v>370</v>
      </c>
      <c r="AL3" s="9" t="s">
        <v>344</v>
      </c>
      <c r="AM3" s="12" t="s">
        <v>335</v>
      </c>
    </row>
    <row r="4" spans="1:39" ht="100" customHeight="1">
      <c r="A4" s="9">
        <v>2</v>
      </c>
      <c r="B4" s="3" t="s">
        <v>20</v>
      </c>
      <c r="C4" s="3" t="s">
        <v>381</v>
      </c>
      <c r="D4" s="3">
        <f t="shared" si="0"/>
        <v>2011</v>
      </c>
      <c r="E4" s="6">
        <v>40548</v>
      </c>
      <c r="F4" s="6">
        <v>42075</v>
      </c>
      <c r="G4" s="3">
        <f t="shared" si="1"/>
        <v>1527</v>
      </c>
      <c r="H4" s="3" t="s">
        <v>22</v>
      </c>
      <c r="I4" s="3" t="s">
        <v>341</v>
      </c>
      <c r="J4" s="3" t="s">
        <v>23</v>
      </c>
      <c r="K4" s="3" t="s">
        <v>391</v>
      </c>
      <c r="L4" s="9" t="s">
        <v>24</v>
      </c>
      <c r="M4" s="9" t="s">
        <v>382</v>
      </c>
      <c r="N4" s="9" t="s">
        <v>383</v>
      </c>
      <c r="O4" s="9" t="s">
        <v>384</v>
      </c>
      <c r="P4" s="9" t="s">
        <v>398</v>
      </c>
      <c r="Q4" s="9">
        <v>1</v>
      </c>
      <c r="R4" s="9"/>
      <c r="S4" s="9" t="s">
        <v>358</v>
      </c>
      <c r="T4" s="9" t="s">
        <v>385</v>
      </c>
      <c r="U4" s="9" t="s">
        <v>25</v>
      </c>
      <c r="V4" s="9" t="s">
        <v>394</v>
      </c>
      <c r="W4" s="9" t="s">
        <v>371</v>
      </c>
      <c r="X4" s="9" t="s">
        <v>372</v>
      </c>
      <c r="Y4" s="9"/>
      <c r="Z4" s="9" t="s">
        <v>376</v>
      </c>
      <c r="AA4" s="9"/>
      <c r="AB4" s="9"/>
      <c r="AC4" s="9" t="s">
        <v>26</v>
      </c>
      <c r="AD4" s="9"/>
      <c r="AE4" s="9"/>
      <c r="AF4" s="9" t="s">
        <v>386</v>
      </c>
      <c r="AG4" s="9"/>
      <c r="AH4" s="9"/>
      <c r="AI4" s="9"/>
      <c r="AJ4" s="9"/>
      <c r="AK4" s="9"/>
      <c r="AL4" s="9"/>
      <c r="AM4" s="13" t="s">
        <v>27</v>
      </c>
    </row>
    <row r="5" spans="1:39" ht="100" customHeight="1">
      <c r="A5" s="9">
        <v>3</v>
      </c>
      <c r="B5" s="3" t="s">
        <v>28</v>
      </c>
      <c r="C5" s="3" t="s">
        <v>21</v>
      </c>
      <c r="D5" s="3">
        <f t="shared" si="0"/>
        <v>2011</v>
      </c>
      <c r="E5" s="6">
        <v>40667</v>
      </c>
      <c r="F5" s="6">
        <v>41183</v>
      </c>
      <c r="G5" s="3">
        <f t="shared" si="1"/>
        <v>516</v>
      </c>
      <c r="H5" s="3" t="s">
        <v>22</v>
      </c>
      <c r="I5" s="3" t="s">
        <v>341</v>
      </c>
      <c r="J5" s="3" t="s">
        <v>29</v>
      </c>
      <c r="K5" s="3" t="s">
        <v>391</v>
      </c>
      <c r="L5" s="9" t="s">
        <v>30</v>
      </c>
      <c r="M5" s="9" t="s">
        <v>382</v>
      </c>
      <c r="N5" s="9" t="s">
        <v>388</v>
      </c>
      <c r="O5" s="9" t="s">
        <v>387</v>
      </c>
      <c r="P5" s="9" t="s">
        <v>355</v>
      </c>
      <c r="Q5" s="9">
        <v>1</v>
      </c>
      <c r="R5" s="9"/>
      <c r="S5" s="9" t="s">
        <v>358</v>
      </c>
      <c r="T5" s="9" t="s">
        <v>385</v>
      </c>
      <c r="U5" s="9" t="s">
        <v>31</v>
      </c>
      <c r="V5" s="9" t="s">
        <v>394</v>
      </c>
      <c r="W5" s="9" t="s">
        <v>371</v>
      </c>
      <c r="X5" s="9" t="s">
        <v>372</v>
      </c>
      <c r="Y5" s="9"/>
      <c r="Z5" s="9"/>
      <c r="AA5" s="9"/>
      <c r="AB5" s="9" t="s">
        <v>378</v>
      </c>
      <c r="AC5" s="9" t="s">
        <v>26</v>
      </c>
      <c r="AD5" s="9"/>
      <c r="AE5" s="9"/>
      <c r="AF5" s="9" t="s">
        <v>386</v>
      </c>
      <c r="AG5" s="9"/>
      <c r="AH5" s="9"/>
      <c r="AI5" s="9"/>
      <c r="AJ5" s="9"/>
      <c r="AK5" s="9"/>
      <c r="AL5" s="9"/>
      <c r="AM5" s="13" t="s">
        <v>32</v>
      </c>
    </row>
    <row r="6" spans="1:39" ht="100" customHeight="1">
      <c r="A6" s="9">
        <v>4</v>
      </c>
      <c r="B6" s="3" t="s">
        <v>33</v>
      </c>
      <c r="C6" s="3" t="s">
        <v>21</v>
      </c>
      <c r="D6" s="3">
        <f t="shared" si="0"/>
        <v>2011</v>
      </c>
      <c r="E6" s="6">
        <v>40667</v>
      </c>
      <c r="F6" s="6">
        <v>40946</v>
      </c>
      <c r="G6" s="3">
        <f t="shared" si="1"/>
        <v>279</v>
      </c>
      <c r="H6" s="3" t="s">
        <v>22</v>
      </c>
      <c r="I6" s="3" t="s">
        <v>341</v>
      </c>
      <c r="J6" s="3" t="s">
        <v>34</v>
      </c>
      <c r="K6" s="3" t="s">
        <v>391</v>
      </c>
      <c r="L6" s="9" t="s">
        <v>35</v>
      </c>
      <c r="M6" s="9" t="s">
        <v>393</v>
      </c>
      <c r="N6" s="9" t="s">
        <v>383</v>
      </c>
      <c r="O6" s="9" t="s">
        <v>384</v>
      </c>
      <c r="P6" s="9" t="s">
        <v>398</v>
      </c>
      <c r="Q6" s="9">
        <v>5</v>
      </c>
      <c r="R6" s="9"/>
      <c r="S6" s="9" t="s">
        <v>358</v>
      </c>
      <c r="T6" s="9" t="s">
        <v>385</v>
      </c>
      <c r="U6" s="9" t="s">
        <v>36</v>
      </c>
      <c r="V6" s="9" t="s">
        <v>394</v>
      </c>
      <c r="W6" s="9" t="s">
        <v>371</v>
      </c>
      <c r="X6" s="9" t="s">
        <v>372</v>
      </c>
      <c r="Y6" s="9"/>
      <c r="Z6" s="9"/>
      <c r="AA6" s="9"/>
      <c r="AB6" s="9"/>
      <c r="AC6" s="9" t="s">
        <v>26</v>
      </c>
      <c r="AD6" s="9"/>
      <c r="AE6" s="9"/>
      <c r="AF6" s="9"/>
      <c r="AG6" s="9" t="s">
        <v>395</v>
      </c>
      <c r="AH6" s="9"/>
      <c r="AI6" s="9"/>
      <c r="AJ6" s="9"/>
      <c r="AK6" s="9"/>
      <c r="AL6" s="9"/>
      <c r="AM6" s="13" t="s">
        <v>37</v>
      </c>
    </row>
    <row r="7" spans="1:39" ht="100" customHeight="1">
      <c r="A7" s="9">
        <v>5</v>
      </c>
      <c r="B7" s="3" t="s">
        <v>396</v>
      </c>
      <c r="C7" s="3" t="s">
        <v>381</v>
      </c>
      <c r="D7" s="3">
        <f t="shared" si="0"/>
        <v>2011</v>
      </c>
      <c r="E7" s="6">
        <v>40667</v>
      </c>
      <c r="F7" s="6">
        <v>40709</v>
      </c>
      <c r="G7" s="3">
        <f t="shared" si="1"/>
        <v>42</v>
      </c>
      <c r="H7" s="3" t="s">
        <v>22</v>
      </c>
      <c r="I7" s="3" t="s">
        <v>341</v>
      </c>
      <c r="J7" s="3" t="s">
        <v>38</v>
      </c>
      <c r="K7" s="3" t="s">
        <v>391</v>
      </c>
      <c r="L7" s="9" t="s">
        <v>39</v>
      </c>
      <c r="M7" s="9" t="s">
        <v>393</v>
      </c>
      <c r="N7" s="9" t="s">
        <v>397</v>
      </c>
      <c r="O7" s="9" t="s">
        <v>359</v>
      </c>
      <c r="P7" s="9" t="s">
        <v>398</v>
      </c>
      <c r="Q7" s="9"/>
      <c r="R7" s="9"/>
      <c r="S7" s="9" t="s">
        <v>399</v>
      </c>
      <c r="T7" s="9" t="s">
        <v>385</v>
      </c>
      <c r="U7" s="9" t="s">
        <v>40</v>
      </c>
      <c r="V7" s="9" t="s">
        <v>394</v>
      </c>
      <c r="W7" s="9" t="s">
        <v>371</v>
      </c>
      <c r="X7" s="9"/>
      <c r="Y7" s="9"/>
      <c r="Z7" s="9"/>
      <c r="AA7" s="9"/>
      <c r="AB7" s="9"/>
      <c r="AC7" s="9" t="s">
        <v>26</v>
      </c>
      <c r="AD7" s="9"/>
      <c r="AE7" s="9" t="s">
        <v>403</v>
      </c>
      <c r="AF7" s="9"/>
      <c r="AG7" s="9"/>
      <c r="AH7" s="9"/>
      <c r="AI7" s="9"/>
      <c r="AJ7" s="9"/>
      <c r="AK7" s="9"/>
      <c r="AL7" s="9"/>
      <c r="AM7" s="13" t="s">
        <v>41</v>
      </c>
    </row>
    <row r="8" spans="1:39" ht="100" customHeight="1">
      <c r="A8" s="9">
        <v>6</v>
      </c>
      <c r="B8" s="3" t="s">
        <v>42</v>
      </c>
      <c r="C8" s="3" t="s">
        <v>21</v>
      </c>
      <c r="D8" s="3">
        <f t="shared" si="0"/>
        <v>2011</v>
      </c>
      <c r="E8" s="6">
        <v>40667</v>
      </c>
      <c r="F8" s="6">
        <v>41981</v>
      </c>
      <c r="G8" s="3">
        <f t="shared" si="1"/>
        <v>1314</v>
      </c>
      <c r="H8" s="3" t="s">
        <v>22</v>
      </c>
      <c r="I8" s="3" t="s">
        <v>341</v>
      </c>
      <c r="J8" s="3" t="s">
        <v>404</v>
      </c>
      <c r="K8" s="3" t="s">
        <v>391</v>
      </c>
      <c r="L8" s="9" t="s">
        <v>43</v>
      </c>
      <c r="M8" s="9" t="s">
        <v>400</v>
      </c>
      <c r="N8" s="9" t="s">
        <v>383</v>
      </c>
      <c r="O8" s="9" t="s">
        <v>359</v>
      </c>
      <c r="P8" s="9" t="s">
        <v>401</v>
      </c>
      <c r="Q8" s="9">
        <v>5</v>
      </c>
      <c r="R8" s="9"/>
      <c r="S8" s="9" t="s">
        <v>358</v>
      </c>
      <c r="T8" s="9" t="s">
        <v>406</v>
      </c>
      <c r="U8" s="9" t="s">
        <v>402</v>
      </c>
      <c r="V8" s="9" t="s">
        <v>394</v>
      </c>
      <c r="W8" s="9" t="s">
        <v>371</v>
      </c>
      <c r="X8" s="9"/>
      <c r="Y8" s="9"/>
      <c r="Z8" s="9"/>
      <c r="AA8" s="9"/>
      <c r="AB8" s="9"/>
      <c r="AC8" s="9" t="s">
        <v>26</v>
      </c>
      <c r="AD8" s="9"/>
      <c r="AE8" s="9" t="s">
        <v>405</v>
      </c>
      <c r="AF8" s="9"/>
      <c r="AG8" s="9"/>
      <c r="AH8" s="9"/>
      <c r="AI8" s="9"/>
      <c r="AJ8" s="9"/>
      <c r="AK8" s="9"/>
      <c r="AL8" s="9"/>
      <c r="AM8" s="13" t="s">
        <v>44</v>
      </c>
    </row>
    <row r="9" spans="1:39" ht="100" customHeight="1">
      <c r="A9" s="9">
        <v>7</v>
      </c>
      <c r="B9" s="3" t="s">
        <v>45</v>
      </c>
      <c r="C9" s="3" t="s">
        <v>21</v>
      </c>
      <c r="D9" s="3">
        <f t="shared" si="0"/>
        <v>2011</v>
      </c>
      <c r="E9" s="6">
        <v>40668</v>
      </c>
      <c r="F9" s="6">
        <v>41843</v>
      </c>
      <c r="G9" s="3">
        <f t="shared" si="1"/>
        <v>1175</v>
      </c>
      <c r="H9" s="3" t="s">
        <v>22</v>
      </c>
      <c r="I9" s="3" t="s">
        <v>341</v>
      </c>
      <c r="J9" s="3" t="s">
        <v>46</v>
      </c>
      <c r="K9" s="3" t="s">
        <v>391</v>
      </c>
      <c r="L9" s="9" t="s">
        <v>47</v>
      </c>
      <c r="M9" s="9" t="s">
        <v>382</v>
      </c>
      <c r="N9" s="9" t="s">
        <v>383</v>
      </c>
      <c r="O9" s="9" t="s">
        <v>384</v>
      </c>
      <c r="P9" s="9" t="s">
        <v>398</v>
      </c>
      <c r="Q9" s="9"/>
      <c r="R9" s="9"/>
      <c r="S9" s="9" t="s">
        <v>358</v>
      </c>
      <c r="T9" s="9" t="s">
        <v>385</v>
      </c>
      <c r="U9" s="9" t="s">
        <v>48</v>
      </c>
      <c r="V9" s="9" t="s">
        <v>394</v>
      </c>
      <c r="W9" s="9" t="s">
        <v>371</v>
      </c>
      <c r="X9" s="9"/>
      <c r="Y9" s="9"/>
      <c r="Z9" s="9"/>
      <c r="AA9" s="9"/>
      <c r="AB9" s="9"/>
      <c r="AC9" s="9" t="s">
        <v>26</v>
      </c>
      <c r="AD9" s="9"/>
      <c r="AE9" s="9" t="s">
        <v>405</v>
      </c>
      <c r="AF9" s="9"/>
      <c r="AG9" s="9"/>
      <c r="AH9" s="9"/>
      <c r="AI9" s="9" t="s">
        <v>407</v>
      </c>
      <c r="AJ9" s="9"/>
      <c r="AK9" s="9"/>
      <c r="AL9" s="9"/>
      <c r="AM9" s="13" t="s">
        <v>49</v>
      </c>
    </row>
    <row r="10" spans="1:39" ht="100" customHeight="1">
      <c r="A10" s="9">
        <v>8</v>
      </c>
      <c r="B10" s="3" t="s">
        <v>50</v>
      </c>
      <c r="C10" s="3" t="s">
        <v>21</v>
      </c>
      <c r="D10" s="3">
        <f t="shared" si="0"/>
        <v>2011</v>
      </c>
      <c r="E10" s="6">
        <v>40681</v>
      </c>
      <c r="F10" s="6">
        <v>41624</v>
      </c>
      <c r="G10" s="3">
        <f t="shared" si="1"/>
        <v>943</v>
      </c>
      <c r="H10" s="3" t="s">
        <v>22</v>
      </c>
      <c r="I10" s="3" t="s">
        <v>341</v>
      </c>
      <c r="J10" s="3" t="s">
        <v>51</v>
      </c>
      <c r="K10" s="3" t="s">
        <v>334</v>
      </c>
      <c r="L10" s="9" t="s">
        <v>409</v>
      </c>
      <c r="M10" s="9" t="s">
        <v>393</v>
      </c>
      <c r="N10" s="9" t="s">
        <v>410</v>
      </c>
      <c r="O10" s="9" t="s">
        <v>359</v>
      </c>
      <c r="P10" s="9" t="s">
        <v>398</v>
      </c>
      <c r="Q10" s="9">
        <v>6</v>
      </c>
      <c r="R10" s="9"/>
      <c r="S10" s="9" t="s">
        <v>358</v>
      </c>
      <c r="T10" s="9" t="s">
        <v>385</v>
      </c>
      <c r="U10" s="9" t="s">
        <v>52</v>
      </c>
      <c r="V10" s="9" t="s">
        <v>394</v>
      </c>
      <c r="W10" s="9" t="s">
        <v>371</v>
      </c>
      <c r="X10" s="9"/>
      <c r="Y10" s="9"/>
      <c r="Z10" s="9"/>
      <c r="AA10" s="9"/>
      <c r="AB10" s="9"/>
      <c r="AC10" s="9" t="s">
        <v>26</v>
      </c>
      <c r="AD10" s="9"/>
      <c r="AE10" s="9" t="s">
        <v>403</v>
      </c>
      <c r="AF10" s="9"/>
      <c r="AG10" s="9"/>
      <c r="AH10" s="9"/>
      <c r="AI10" s="9"/>
      <c r="AJ10" s="9"/>
      <c r="AK10" s="9"/>
      <c r="AL10" s="9"/>
      <c r="AM10" s="13" t="s">
        <v>53</v>
      </c>
    </row>
    <row r="11" spans="1:39" ht="100" customHeight="1">
      <c r="A11" s="9">
        <v>9</v>
      </c>
      <c r="B11" s="3" t="s">
        <v>54</v>
      </c>
      <c r="C11" s="3" t="s">
        <v>21</v>
      </c>
      <c r="D11" s="3">
        <f t="shared" si="0"/>
        <v>2011</v>
      </c>
      <c r="E11" s="6">
        <v>40682</v>
      </c>
      <c r="F11" s="6">
        <v>44126</v>
      </c>
      <c r="G11" s="3">
        <f t="shared" si="1"/>
        <v>3444</v>
      </c>
      <c r="H11" s="3" t="s">
        <v>22</v>
      </c>
      <c r="I11" s="3" t="s">
        <v>341</v>
      </c>
      <c r="J11" s="3" t="s">
        <v>55</v>
      </c>
      <c r="K11" s="3" t="s">
        <v>334</v>
      </c>
      <c r="L11" s="9" t="s">
        <v>56</v>
      </c>
      <c r="M11" s="9" t="s">
        <v>393</v>
      </c>
      <c r="N11" s="9" t="s">
        <v>397</v>
      </c>
      <c r="O11" s="9" t="s">
        <v>359</v>
      </c>
      <c r="P11" s="9" t="s">
        <v>398</v>
      </c>
      <c r="Q11" s="9">
        <v>2</v>
      </c>
      <c r="R11" s="9"/>
      <c r="S11" s="9" t="s">
        <v>399</v>
      </c>
      <c r="T11" s="9" t="s">
        <v>385</v>
      </c>
      <c r="U11" s="9" t="s">
        <v>57</v>
      </c>
      <c r="V11" s="9" t="s">
        <v>394</v>
      </c>
      <c r="W11" s="9" t="s">
        <v>371</v>
      </c>
      <c r="X11" s="9"/>
      <c r="Y11" s="9"/>
      <c r="Z11" s="9"/>
      <c r="AA11" s="9"/>
      <c r="AB11" s="9"/>
      <c r="AC11" s="9" t="s">
        <v>26</v>
      </c>
      <c r="AD11" s="9"/>
      <c r="AE11" s="9"/>
      <c r="AF11" s="9" t="s">
        <v>412</v>
      </c>
      <c r="AG11" s="9"/>
      <c r="AH11" s="9"/>
      <c r="AI11" s="9" t="s">
        <v>413</v>
      </c>
      <c r="AJ11" s="9"/>
      <c r="AK11" s="9"/>
      <c r="AL11" s="9"/>
      <c r="AM11" s="12" t="s">
        <v>411</v>
      </c>
    </row>
    <row r="12" spans="1:39" ht="100" customHeight="1">
      <c r="A12" s="9">
        <v>10</v>
      </c>
      <c r="B12" s="3" t="s">
        <v>58</v>
      </c>
      <c r="C12" s="3" t="s">
        <v>21</v>
      </c>
      <c r="D12" s="3">
        <f t="shared" si="0"/>
        <v>2011</v>
      </c>
      <c r="E12" s="6">
        <v>40745</v>
      </c>
      <c r="F12" s="6">
        <v>41894</v>
      </c>
      <c r="G12" s="3">
        <f t="shared" si="1"/>
        <v>1149</v>
      </c>
      <c r="H12" s="3" t="s">
        <v>22</v>
      </c>
      <c r="I12" s="3" t="s">
        <v>341</v>
      </c>
      <c r="J12" s="3" t="s">
        <v>59</v>
      </c>
      <c r="K12" s="3" t="s">
        <v>391</v>
      </c>
      <c r="L12" s="9" t="s">
        <v>60</v>
      </c>
      <c r="M12" s="9" t="s">
        <v>393</v>
      </c>
      <c r="N12" s="9" t="s">
        <v>410</v>
      </c>
      <c r="O12" s="9" t="s">
        <v>384</v>
      </c>
      <c r="P12" s="9" t="s">
        <v>398</v>
      </c>
      <c r="Q12" s="9">
        <v>6</v>
      </c>
      <c r="R12" s="9" t="s">
        <v>414</v>
      </c>
      <c r="S12" s="9" t="s">
        <v>358</v>
      </c>
      <c r="T12" s="9" t="s">
        <v>385</v>
      </c>
      <c r="U12" s="9" t="s">
        <v>61</v>
      </c>
      <c r="V12" s="9" t="s">
        <v>394</v>
      </c>
      <c r="W12" s="9" t="s">
        <v>371</v>
      </c>
      <c r="X12" s="9"/>
      <c r="Y12" s="9"/>
      <c r="Z12" s="9"/>
      <c r="AA12" s="9"/>
      <c r="AB12" s="9"/>
      <c r="AC12" s="9" t="s">
        <v>26</v>
      </c>
      <c r="AD12" s="9"/>
      <c r="AE12" s="9" t="s">
        <v>403</v>
      </c>
      <c r="AF12" s="9"/>
      <c r="AG12" s="9"/>
      <c r="AH12" s="9" t="s">
        <v>366</v>
      </c>
      <c r="AI12" s="9"/>
      <c r="AJ12" s="9"/>
      <c r="AK12" s="9"/>
      <c r="AL12" s="9"/>
      <c r="AM12" s="13" t="s">
        <v>62</v>
      </c>
    </row>
    <row r="13" spans="1:39" ht="100" customHeight="1">
      <c r="A13" s="9">
        <v>11</v>
      </c>
      <c r="B13" s="3" t="s">
        <v>63</v>
      </c>
      <c r="C13" s="3" t="s">
        <v>21</v>
      </c>
      <c r="D13" s="3">
        <f t="shared" si="0"/>
        <v>2012</v>
      </c>
      <c r="E13" s="6">
        <v>40949</v>
      </c>
      <c r="F13" s="6">
        <v>41347</v>
      </c>
      <c r="G13" s="3">
        <f t="shared" si="1"/>
        <v>398</v>
      </c>
      <c r="H13" s="3" t="s">
        <v>22</v>
      </c>
      <c r="I13" s="3" t="s">
        <v>341</v>
      </c>
      <c r="J13" s="3" t="s">
        <v>64</v>
      </c>
      <c r="K13" s="3" t="s">
        <v>391</v>
      </c>
      <c r="L13" s="9" t="s">
        <v>65</v>
      </c>
      <c r="M13" s="9" t="s">
        <v>382</v>
      </c>
      <c r="N13" s="9" t="s">
        <v>383</v>
      </c>
      <c r="O13" s="9" t="s">
        <v>384</v>
      </c>
      <c r="P13" s="9" t="s">
        <v>398</v>
      </c>
      <c r="Q13" s="9">
        <v>6</v>
      </c>
      <c r="R13" s="9"/>
      <c r="S13" s="9" t="s">
        <v>358</v>
      </c>
      <c r="T13" s="9" t="s">
        <v>385</v>
      </c>
      <c r="U13" s="9" t="s">
        <v>586</v>
      </c>
      <c r="V13" s="9" t="s">
        <v>394</v>
      </c>
      <c r="W13" s="9" t="s">
        <v>371</v>
      </c>
      <c r="X13" s="9"/>
      <c r="Y13" s="9"/>
      <c r="Z13" s="9"/>
      <c r="AA13" s="9"/>
      <c r="AB13" s="9"/>
      <c r="AC13" s="9" t="s">
        <v>26</v>
      </c>
      <c r="AD13" s="9"/>
      <c r="AE13" s="9" t="s">
        <v>403</v>
      </c>
      <c r="AF13" s="9"/>
      <c r="AG13" s="9"/>
      <c r="AH13" s="9"/>
      <c r="AI13" s="9"/>
      <c r="AJ13" s="9"/>
      <c r="AK13" s="9"/>
      <c r="AL13" s="9"/>
      <c r="AM13" s="12" t="s">
        <v>415</v>
      </c>
    </row>
    <row r="14" spans="1:39" ht="100" customHeight="1">
      <c r="A14" s="9">
        <v>12</v>
      </c>
      <c r="B14" s="3" t="s">
        <v>66</v>
      </c>
      <c r="C14" s="3" t="s">
        <v>67</v>
      </c>
      <c r="D14" s="3">
        <f t="shared" si="0"/>
        <v>2012</v>
      </c>
      <c r="E14" s="6">
        <v>41172</v>
      </c>
      <c r="F14" s="6"/>
      <c r="G14" s="3"/>
      <c r="H14" s="3" t="s">
        <v>68</v>
      </c>
      <c r="I14" s="3" t="s">
        <v>340</v>
      </c>
      <c r="J14" s="3" t="s">
        <v>408</v>
      </c>
      <c r="K14" s="3" t="s">
        <v>338</v>
      </c>
      <c r="L14" s="9" t="s">
        <v>417</v>
      </c>
      <c r="M14" s="9" t="s">
        <v>400</v>
      </c>
      <c r="N14" s="9" t="s">
        <v>383</v>
      </c>
      <c r="O14" s="9" t="s">
        <v>359</v>
      </c>
      <c r="P14" s="9" t="s">
        <v>398</v>
      </c>
      <c r="Q14" s="9">
        <v>4</v>
      </c>
      <c r="R14" s="9" t="s">
        <v>416</v>
      </c>
      <c r="S14" s="9" t="s">
        <v>358</v>
      </c>
      <c r="T14" s="9" t="s">
        <v>406</v>
      </c>
      <c r="U14" s="9" t="s">
        <v>69</v>
      </c>
      <c r="V14" s="9" t="s">
        <v>394</v>
      </c>
      <c r="W14" s="9" t="s">
        <v>371</v>
      </c>
      <c r="X14" s="9"/>
      <c r="Y14" s="9"/>
      <c r="Z14" s="9"/>
      <c r="AA14" s="9"/>
      <c r="AB14" s="9"/>
      <c r="AC14" s="9" t="s">
        <v>26</v>
      </c>
      <c r="AD14" s="9"/>
      <c r="AE14" s="9"/>
      <c r="AF14" s="9"/>
      <c r="AG14" s="9"/>
      <c r="AH14" s="9"/>
      <c r="AI14" s="9"/>
      <c r="AJ14" s="9"/>
      <c r="AK14" s="9"/>
      <c r="AL14" s="9"/>
      <c r="AM14" s="13" t="s">
        <v>70</v>
      </c>
    </row>
    <row r="15" spans="1:39" ht="100" customHeight="1">
      <c r="A15" s="9">
        <v>13</v>
      </c>
      <c r="B15" s="3" t="s">
        <v>71</v>
      </c>
      <c r="C15" s="3" t="s">
        <v>21</v>
      </c>
      <c r="D15" s="3">
        <f t="shared" si="0"/>
        <v>2012</v>
      </c>
      <c r="E15" s="6">
        <v>41200</v>
      </c>
      <c r="F15" s="6">
        <v>41429</v>
      </c>
      <c r="G15" s="3">
        <f t="shared" ref="G15:G20" si="2">F15-E15</f>
        <v>229</v>
      </c>
      <c r="H15" s="3" t="s">
        <v>22</v>
      </c>
      <c r="I15" s="3" t="s">
        <v>341</v>
      </c>
      <c r="J15" s="3" t="s">
        <v>72</v>
      </c>
      <c r="K15" s="3" t="s">
        <v>391</v>
      </c>
      <c r="L15" s="9" t="s">
        <v>418</v>
      </c>
      <c r="M15" s="9" t="s">
        <v>419</v>
      </c>
      <c r="N15" s="9" t="s">
        <v>410</v>
      </c>
      <c r="O15" s="9" t="s">
        <v>359</v>
      </c>
      <c r="P15" s="9" t="s">
        <v>398</v>
      </c>
      <c r="Q15" s="9">
        <v>1</v>
      </c>
      <c r="R15" s="9"/>
      <c r="S15" s="9" t="s">
        <v>358</v>
      </c>
      <c r="T15" s="9" t="s">
        <v>385</v>
      </c>
      <c r="U15" s="9" t="s">
        <v>73</v>
      </c>
      <c r="V15" s="9" t="s">
        <v>394</v>
      </c>
      <c r="W15" s="9" t="s">
        <v>371</v>
      </c>
      <c r="X15" s="9"/>
      <c r="Y15" s="9"/>
      <c r="Z15" s="9"/>
      <c r="AA15" s="9"/>
      <c r="AB15" s="9"/>
      <c r="AC15" s="9" t="s">
        <v>26</v>
      </c>
      <c r="AD15" s="9"/>
      <c r="AE15" s="9" t="s">
        <v>420</v>
      </c>
      <c r="AF15" s="9"/>
      <c r="AG15" s="9"/>
      <c r="AH15" s="9"/>
      <c r="AI15" s="9"/>
      <c r="AJ15" s="9"/>
      <c r="AK15" s="9"/>
      <c r="AL15" s="9"/>
      <c r="AM15" s="13" t="s">
        <v>74</v>
      </c>
    </row>
    <row r="16" spans="1:39" ht="100" customHeight="1">
      <c r="A16" s="9">
        <v>14</v>
      </c>
      <c r="B16" s="3" t="s">
        <v>75</v>
      </c>
      <c r="C16" s="3" t="s">
        <v>21</v>
      </c>
      <c r="D16" s="3">
        <f t="shared" si="0"/>
        <v>2013</v>
      </c>
      <c r="E16" s="6">
        <v>41593</v>
      </c>
      <c r="F16" s="6">
        <v>43493</v>
      </c>
      <c r="G16" s="3">
        <f t="shared" si="2"/>
        <v>1900</v>
      </c>
      <c r="H16" s="3" t="s">
        <v>22</v>
      </c>
      <c r="I16" s="3" t="s">
        <v>341</v>
      </c>
      <c r="J16" s="3" t="s">
        <v>76</v>
      </c>
      <c r="K16" s="3" t="s">
        <v>391</v>
      </c>
      <c r="L16" s="9" t="s">
        <v>77</v>
      </c>
      <c r="M16" s="9" t="s">
        <v>393</v>
      </c>
      <c r="N16" s="9" t="s">
        <v>383</v>
      </c>
      <c r="O16" s="9" t="s">
        <v>359</v>
      </c>
      <c r="P16" s="9" t="s">
        <v>398</v>
      </c>
      <c r="Q16" s="9">
        <v>6</v>
      </c>
      <c r="R16" s="9"/>
      <c r="S16" s="9" t="s">
        <v>358</v>
      </c>
      <c r="T16" s="9" t="s">
        <v>385</v>
      </c>
      <c r="U16" s="9" t="s">
        <v>78</v>
      </c>
      <c r="V16" s="9" t="s">
        <v>363</v>
      </c>
      <c r="W16" s="9" t="s">
        <v>371</v>
      </c>
      <c r="X16" s="9"/>
      <c r="Y16" s="9"/>
      <c r="Z16" s="9"/>
      <c r="AA16" s="9"/>
      <c r="AB16" s="9"/>
      <c r="AC16" s="9"/>
      <c r="AD16" s="9"/>
      <c r="AE16" s="9"/>
      <c r="AF16" s="9" t="s">
        <v>412</v>
      </c>
      <c r="AG16" s="9"/>
      <c r="AH16" s="9"/>
      <c r="AI16" s="9"/>
      <c r="AJ16" s="9" t="s">
        <v>421</v>
      </c>
      <c r="AK16" s="9"/>
      <c r="AL16" s="9"/>
      <c r="AM16" s="13" t="s">
        <v>79</v>
      </c>
    </row>
    <row r="17" spans="1:39" ht="100" customHeight="1">
      <c r="A17" s="9">
        <v>15</v>
      </c>
      <c r="B17" s="3" t="s">
        <v>425</v>
      </c>
      <c r="C17" s="3" t="s">
        <v>16</v>
      </c>
      <c r="D17" s="3">
        <f t="shared" si="0"/>
        <v>2014</v>
      </c>
      <c r="E17" s="6">
        <v>41862</v>
      </c>
      <c r="F17" s="6">
        <v>42507</v>
      </c>
      <c r="G17" s="3">
        <f t="shared" si="2"/>
        <v>645</v>
      </c>
      <c r="H17" s="3" t="s">
        <v>22</v>
      </c>
      <c r="I17" s="3" t="s">
        <v>341</v>
      </c>
      <c r="J17" s="3" t="s">
        <v>80</v>
      </c>
      <c r="K17" s="3" t="s">
        <v>391</v>
      </c>
      <c r="L17" s="9" t="s">
        <v>81</v>
      </c>
      <c r="M17" s="9" t="s">
        <v>393</v>
      </c>
      <c r="N17" s="9" t="s">
        <v>383</v>
      </c>
      <c r="O17" s="9" t="s">
        <v>359</v>
      </c>
      <c r="P17" s="9" t="s">
        <v>398</v>
      </c>
      <c r="Q17" s="9">
        <v>4</v>
      </c>
      <c r="R17" s="9" t="s">
        <v>424</v>
      </c>
      <c r="S17" s="9" t="s">
        <v>358</v>
      </c>
      <c r="T17" s="9" t="s">
        <v>385</v>
      </c>
      <c r="U17" s="9" t="s">
        <v>587</v>
      </c>
      <c r="V17" s="9" t="s">
        <v>394</v>
      </c>
      <c r="W17" s="9" t="s">
        <v>371</v>
      </c>
      <c r="X17" s="9" t="s">
        <v>372</v>
      </c>
      <c r="Y17" s="9" t="s">
        <v>374</v>
      </c>
      <c r="Z17" s="9"/>
      <c r="AA17" s="9"/>
      <c r="AB17" s="9"/>
      <c r="AC17" s="9" t="s">
        <v>26</v>
      </c>
      <c r="AD17" s="9"/>
      <c r="AE17" s="9"/>
      <c r="AF17" s="9"/>
      <c r="AG17" s="9"/>
      <c r="AH17" s="9"/>
      <c r="AI17" s="9"/>
      <c r="AJ17" s="9" t="s">
        <v>423</v>
      </c>
      <c r="AK17" s="9" t="s">
        <v>370</v>
      </c>
      <c r="AL17" s="9"/>
      <c r="AM17" s="13" t="s">
        <v>422</v>
      </c>
    </row>
    <row r="18" spans="1:39" ht="100" customHeight="1">
      <c r="A18" s="9">
        <v>16</v>
      </c>
      <c r="B18" s="3" t="s">
        <v>428</v>
      </c>
      <c r="C18" s="3" t="s">
        <v>21</v>
      </c>
      <c r="D18" s="3">
        <f t="shared" si="0"/>
        <v>2014</v>
      </c>
      <c r="E18" s="6">
        <v>41897</v>
      </c>
      <c r="F18" s="6">
        <v>42983</v>
      </c>
      <c r="G18" s="3">
        <f t="shared" si="2"/>
        <v>1086</v>
      </c>
      <c r="H18" s="3" t="s">
        <v>22</v>
      </c>
      <c r="I18" s="3" t="s">
        <v>341</v>
      </c>
      <c r="J18" s="3" t="s">
        <v>51</v>
      </c>
      <c r="K18" s="3" t="s">
        <v>338</v>
      </c>
      <c r="L18" s="9" t="s">
        <v>427</v>
      </c>
      <c r="M18" s="9" t="s">
        <v>382</v>
      </c>
      <c r="N18" s="9" t="s">
        <v>397</v>
      </c>
      <c r="O18" s="9" t="s">
        <v>359</v>
      </c>
      <c r="P18" s="9" t="s">
        <v>398</v>
      </c>
      <c r="Q18" s="9">
        <v>8</v>
      </c>
      <c r="R18" s="9"/>
      <c r="S18" s="9" t="s">
        <v>399</v>
      </c>
      <c r="T18" s="9" t="s">
        <v>385</v>
      </c>
      <c r="U18" s="9" t="s">
        <v>82</v>
      </c>
      <c r="V18" s="9" t="s">
        <v>394</v>
      </c>
      <c r="W18" s="9" t="s">
        <v>371</v>
      </c>
      <c r="X18" s="9" t="s">
        <v>372</v>
      </c>
      <c r="Y18" s="9" t="s">
        <v>374</v>
      </c>
      <c r="Z18" s="9" t="s">
        <v>376</v>
      </c>
      <c r="AA18" s="9"/>
      <c r="AB18" s="9"/>
      <c r="AC18" s="9" t="s">
        <v>26</v>
      </c>
      <c r="AD18" s="9"/>
      <c r="AE18" s="9" t="s">
        <v>403</v>
      </c>
      <c r="AF18" s="9"/>
      <c r="AG18" s="9"/>
      <c r="AH18" s="9"/>
      <c r="AI18" s="9"/>
      <c r="AJ18" s="9" t="s">
        <v>423</v>
      </c>
      <c r="AK18" s="9"/>
      <c r="AL18" s="9"/>
      <c r="AM18" s="12" t="s">
        <v>426</v>
      </c>
    </row>
    <row r="19" spans="1:39" ht="100" customHeight="1">
      <c r="A19" s="9">
        <v>17</v>
      </c>
      <c r="B19" s="3" t="s">
        <v>83</v>
      </c>
      <c r="C19" s="3" t="s">
        <v>381</v>
      </c>
      <c r="D19" s="3">
        <f t="shared" si="0"/>
        <v>2015</v>
      </c>
      <c r="E19" s="6">
        <v>42257</v>
      </c>
      <c r="F19" s="6">
        <v>45415</v>
      </c>
      <c r="G19" s="3">
        <f t="shared" si="2"/>
        <v>3158</v>
      </c>
      <c r="H19" s="3" t="s">
        <v>22</v>
      </c>
      <c r="I19" s="3" t="s">
        <v>341</v>
      </c>
      <c r="J19" s="3" t="s">
        <v>431</v>
      </c>
      <c r="K19" s="3" t="s">
        <v>391</v>
      </c>
      <c r="L19" s="9" t="s">
        <v>430</v>
      </c>
      <c r="M19" s="9" t="s">
        <v>400</v>
      </c>
      <c r="N19" s="9" t="s">
        <v>351</v>
      </c>
      <c r="O19" s="9" t="s">
        <v>384</v>
      </c>
      <c r="P19" s="9" t="s">
        <v>398</v>
      </c>
      <c r="Q19" s="9">
        <v>21</v>
      </c>
      <c r="R19" s="9"/>
      <c r="S19" s="9" t="s">
        <v>358</v>
      </c>
      <c r="T19" s="9" t="s">
        <v>406</v>
      </c>
      <c r="U19" s="9" t="s">
        <v>84</v>
      </c>
      <c r="V19" s="9" t="s">
        <v>394</v>
      </c>
      <c r="W19" s="9" t="s">
        <v>371</v>
      </c>
      <c r="X19" s="9"/>
      <c r="Y19" s="9" t="s">
        <v>374</v>
      </c>
      <c r="Z19" s="9" t="s">
        <v>376</v>
      </c>
      <c r="AA19" s="9"/>
      <c r="AB19" s="9" t="s">
        <v>367</v>
      </c>
      <c r="AC19" s="9"/>
      <c r="AD19" s="9"/>
      <c r="AE19" s="9" t="s">
        <v>123</v>
      </c>
      <c r="AF19" s="9"/>
      <c r="AG19" s="9"/>
      <c r="AH19" s="9" t="s">
        <v>432</v>
      </c>
      <c r="AI19" s="9" t="s">
        <v>413</v>
      </c>
      <c r="AJ19" s="9" t="s">
        <v>421</v>
      </c>
      <c r="AK19" s="9"/>
      <c r="AL19" s="9"/>
      <c r="AM19" s="13" t="s">
        <v>429</v>
      </c>
    </row>
    <row r="20" spans="1:39" ht="100" customHeight="1">
      <c r="A20" s="9">
        <v>18</v>
      </c>
      <c r="B20" s="3" t="s">
        <v>85</v>
      </c>
      <c r="C20" s="3" t="s">
        <v>21</v>
      </c>
      <c r="D20" s="3">
        <f t="shared" si="0"/>
        <v>2015</v>
      </c>
      <c r="E20" s="6">
        <v>42263</v>
      </c>
      <c r="F20" s="6">
        <v>42822</v>
      </c>
      <c r="G20" s="3">
        <f t="shared" si="2"/>
        <v>559</v>
      </c>
      <c r="H20" s="3" t="s">
        <v>22</v>
      </c>
      <c r="I20" s="3" t="s">
        <v>341</v>
      </c>
      <c r="J20" s="3" t="s">
        <v>86</v>
      </c>
      <c r="K20" s="3" t="s">
        <v>391</v>
      </c>
      <c r="L20" s="9" t="s">
        <v>87</v>
      </c>
      <c r="M20" s="9" t="s">
        <v>393</v>
      </c>
      <c r="N20" s="9" t="s">
        <v>351</v>
      </c>
      <c r="O20" s="9" t="s">
        <v>433</v>
      </c>
      <c r="P20" s="9" t="s">
        <v>398</v>
      </c>
      <c r="Q20" s="9">
        <v>5</v>
      </c>
      <c r="R20" s="9"/>
      <c r="S20" s="9" t="s">
        <v>358</v>
      </c>
      <c r="T20" s="9" t="s">
        <v>385</v>
      </c>
      <c r="U20" s="9" t="s">
        <v>88</v>
      </c>
      <c r="V20" s="9" t="s">
        <v>394</v>
      </c>
      <c r="W20" s="9" t="s">
        <v>371</v>
      </c>
      <c r="X20" s="9"/>
      <c r="Y20" s="9"/>
      <c r="Z20" s="9"/>
      <c r="AA20" s="9"/>
      <c r="AB20" s="9"/>
      <c r="AC20" s="9" t="s">
        <v>26</v>
      </c>
      <c r="AD20" s="9"/>
      <c r="AE20" s="9"/>
      <c r="AF20" s="9" t="s">
        <v>412</v>
      </c>
      <c r="AG20" s="9"/>
      <c r="AH20" s="9"/>
      <c r="AI20" s="9"/>
      <c r="AJ20" s="9"/>
      <c r="AK20" s="9"/>
      <c r="AL20" s="9"/>
      <c r="AM20" s="13" t="s">
        <v>89</v>
      </c>
    </row>
    <row r="21" spans="1:39" ht="100" customHeight="1">
      <c r="A21" s="9">
        <v>19</v>
      </c>
      <c r="B21" s="3" t="s">
        <v>437</v>
      </c>
      <c r="C21" s="3" t="s">
        <v>67</v>
      </c>
      <c r="D21" s="3">
        <f t="shared" si="0"/>
        <v>2016</v>
      </c>
      <c r="E21" s="6">
        <v>42373</v>
      </c>
      <c r="F21" s="6"/>
      <c r="G21" s="3"/>
      <c r="H21" s="3" t="s">
        <v>90</v>
      </c>
      <c r="I21" s="3" t="s">
        <v>340</v>
      </c>
      <c r="J21" s="3" t="s">
        <v>435</v>
      </c>
      <c r="K21" s="3" t="s">
        <v>391</v>
      </c>
      <c r="L21" s="9" t="s">
        <v>434</v>
      </c>
      <c r="M21" s="9" t="s">
        <v>393</v>
      </c>
      <c r="N21" s="9" t="s">
        <v>388</v>
      </c>
      <c r="O21" s="9" t="s">
        <v>359</v>
      </c>
      <c r="P21" s="9" t="s">
        <v>398</v>
      </c>
      <c r="Q21" s="9">
        <v>1</v>
      </c>
      <c r="R21" s="9" t="s">
        <v>416</v>
      </c>
      <c r="S21" s="9" t="s">
        <v>358</v>
      </c>
      <c r="T21" s="9" t="s">
        <v>406</v>
      </c>
      <c r="U21" s="9" t="s">
        <v>91</v>
      </c>
      <c r="V21" s="9" t="s">
        <v>363</v>
      </c>
      <c r="W21" s="9" t="s">
        <v>371</v>
      </c>
      <c r="X21" s="9"/>
      <c r="Y21" s="9" t="s">
        <v>374</v>
      </c>
      <c r="Z21" s="9"/>
      <c r="AA21" s="9" t="s">
        <v>436</v>
      </c>
      <c r="AB21" s="9" t="s">
        <v>367</v>
      </c>
      <c r="AC21" s="9" t="s">
        <v>26</v>
      </c>
      <c r="AD21" s="9" t="s">
        <v>122</v>
      </c>
      <c r="AE21" s="9"/>
      <c r="AF21" s="9"/>
      <c r="AG21" s="9"/>
      <c r="AH21" s="9"/>
      <c r="AI21" s="9"/>
      <c r="AJ21" s="9"/>
      <c r="AK21" s="9"/>
      <c r="AL21" s="9"/>
      <c r="AM21" s="13" t="s">
        <v>92</v>
      </c>
    </row>
    <row r="22" spans="1:39" ht="100" customHeight="1">
      <c r="A22" s="9">
        <v>20</v>
      </c>
      <c r="B22" s="3" t="s">
        <v>439</v>
      </c>
      <c r="C22" s="3" t="s">
        <v>21</v>
      </c>
      <c r="D22" s="3">
        <f t="shared" si="0"/>
        <v>2016</v>
      </c>
      <c r="E22" s="6">
        <v>42628</v>
      </c>
      <c r="F22" s="6">
        <v>45057</v>
      </c>
      <c r="G22" s="3">
        <f>F22-E22</f>
        <v>2429</v>
      </c>
      <c r="H22" s="3" t="s">
        <v>93</v>
      </c>
      <c r="I22" s="3" t="s">
        <v>341</v>
      </c>
      <c r="J22" s="3" t="s">
        <v>94</v>
      </c>
      <c r="K22" s="3" t="s">
        <v>338</v>
      </c>
      <c r="L22" s="9" t="s">
        <v>95</v>
      </c>
      <c r="M22" s="9" t="s">
        <v>419</v>
      </c>
      <c r="N22" s="9" t="s">
        <v>383</v>
      </c>
      <c r="O22" s="9" t="s">
        <v>384</v>
      </c>
      <c r="P22" s="9" t="s">
        <v>398</v>
      </c>
      <c r="Q22" s="9">
        <v>176</v>
      </c>
      <c r="R22" s="9" t="s">
        <v>440</v>
      </c>
      <c r="S22" s="9" t="s">
        <v>358</v>
      </c>
      <c r="T22" s="9" t="s">
        <v>406</v>
      </c>
      <c r="U22" s="9" t="s">
        <v>442</v>
      </c>
      <c r="V22" s="9" t="s">
        <v>363</v>
      </c>
      <c r="W22" s="9" t="s">
        <v>371</v>
      </c>
      <c r="X22" s="9" t="s">
        <v>372</v>
      </c>
      <c r="Y22" s="9" t="s">
        <v>374</v>
      </c>
      <c r="Z22" s="9" t="s">
        <v>376</v>
      </c>
      <c r="AA22" s="9" t="s">
        <v>436</v>
      </c>
      <c r="AB22" s="9"/>
      <c r="AC22" s="9"/>
      <c r="AD22" s="9" t="s">
        <v>170</v>
      </c>
      <c r="AE22" s="9" t="s">
        <v>123</v>
      </c>
      <c r="AF22" s="9"/>
      <c r="AG22" s="9"/>
      <c r="AH22" s="9"/>
      <c r="AI22" s="9"/>
      <c r="AJ22" s="9"/>
      <c r="AK22" s="9"/>
      <c r="AL22" s="9"/>
      <c r="AM22" s="12" t="s">
        <v>438</v>
      </c>
    </row>
    <row r="23" spans="1:39" ht="100" customHeight="1">
      <c r="A23" s="9">
        <v>21</v>
      </c>
      <c r="B23" s="3" t="s">
        <v>441</v>
      </c>
      <c r="C23" s="3" t="s">
        <v>21</v>
      </c>
      <c r="D23" s="3">
        <f t="shared" si="0"/>
        <v>2016</v>
      </c>
      <c r="E23" s="6">
        <v>42661</v>
      </c>
      <c r="F23" s="6">
        <v>44187</v>
      </c>
      <c r="G23" s="3">
        <f>F23-E23</f>
        <v>1526</v>
      </c>
      <c r="H23" s="3" t="s">
        <v>96</v>
      </c>
      <c r="I23" s="3" t="s">
        <v>341</v>
      </c>
      <c r="J23" s="3" t="s">
        <v>97</v>
      </c>
      <c r="K23" s="3" t="s">
        <v>338</v>
      </c>
      <c r="L23" s="9" t="s">
        <v>98</v>
      </c>
      <c r="M23" s="9" t="s">
        <v>400</v>
      </c>
      <c r="N23" s="9" t="s">
        <v>383</v>
      </c>
      <c r="O23" s="9" t="s">
        <v>387</v>
      </c>
      <c r="P23" s="9" t="s">
        <v>398</v>
      </c>
      <c r="Q23" s="9">
        <v>6</v>
      </c>
      <c r="R23" s="9" t="s">
        <v>414</v>
      </c>
      <c r="S23" s="9" t="s">
        <v>358</v>
      </c>
      <c r="T23" s="9" t="s">
        <v>406</v>
      </c>
      <c r="U23" s="9" t="s">
        <v>99</v>
      </c>
      <c r="V23" s="9" t="s">
        <v>363</v>
      </c>
      <c r="W23" s="9" t="s">
        <v>371</v>
      </c>
      <c r="X23" s="9" t="s">
        <v>372</v>
      </c>
      <c r="Y23" s="9" t="s">
        <v>374</v>
      </c>
      <c r="Z23" s="9"/>
      <c r="AA23" s="9"/>
      <c r="AB23" s="9"/>
      <c r="AC23" s="9"/>
      <c r="AD23" s="9" t="s">
        <v>170</v>
      </c>
      <c r="AE23" s="9"/>
      <c r="AF23" s="9" t="s">
        <v>444</v>
      </c>
      <c r="AG23" s="9"/>
      <c r="AH23" s="9"/>
      <c r="AI23" s="9"/>
      <c r="AJ23" s="9"/>
      <c r="AK23" s="9"/>
      <c r="AL23" s="9"/>
      <c r="AM23" s="13" t="s">
        <v>100</v>
      </c>
    </row>
    <row r="24" spans="1:39" ht="100" customHeight="1">
      <c r="A24" s="9">
        <v>22</v>
      </c>
      <c r="B24" s="3" t="s">
        <v>452</v>
      </c>
      <c r="C24" s="3" t="s">
        <v>67</v>
      </c>
      <c r="D24" s="3">
        <f t="shared" si="0"/>
        <v>2017</v>
      </c>
      <c r="E24" s="6">
        <v>42819</v>
      </c>
      <c r="F24" s="6"/>
      <c r="G24" s="3"/>
      <c r="H24" s="3" t="s">
        <v>101</v>
      </c>
      <c r="I24" s="3" t="s">
        <v>340</v>
      </c>
      <c r="J24" s="3" t="s">
        <v>458</v>
      </c>
      <c r="K24" s="3" t="s">
        <v>391</v>
      </c>
      <c r="L24" s="9" t="s">
        <v>457</v>
      </c>
      <c r="M24" s="9" t="s">
        <v>392</v>
      </c>
      <c r="N24" s="9" t="s">
        <v>388</v>
      </c>
      <c r="O24" s="9" t="s">
        <v>359</v>
      </c>
      <c r="P24" s="9" t="s">
        <v>398</v>
      </c>
      <c r="Q24" s="9">
        <v>1</v>
      </c>
      <c r="R24" s="9"/>
      <c r="S24" s="9" t="s">
        <v>358</v>
      </c>
      <c r="T24" s="9" t="s">
        <v>406</v>
      </c>
      <c r="U24" s="9" t="s">
        <v>455</v>
      </c>
      <c r="V24" s="9" t="s">
        <v>560</v>
      </c>
      <c r="W24" s="9" t="s">
        <v>371</v>
      </c>
      <c r="X24" s="9" t="s">
        <v>372</v>
      </c>
      <c r="Y24" s="9" t="s">
        <v>374</v>
      </c>
      <c r="Z24" s="9" t="s">
        <v>376</v>
      </c>
      <c r="AA24" s="9"/>
      <c r="AB24" s="9" t="s">
        <v>367</v>
      </c>
      <c r="AC24" s="9" t="s">
        <v>26</v>
      </c>
      <c r="AD24" s="9" t="s">
        <v>122</v>
      </c>
      <c r="AE24" s="9"/>
      <c r="AF24" s="9"/>
      <c r="AG24" s="9"/>
      <c r="AH24" s="9"/>
      <c r="AI24" s="9" t="s">
        <v>413</v>
      </c>
      <c r="AJ24" s="9" t="s">
        <v>454</v>
      </c>
      <c r="AK24" s="9"/>
      <c r="AL24" s="9"/>
      <c r="AM24" s="13" t="s">
        <v>453</v>
      </c>
    </row>
    <row r="25" spans="1:39" ht="100" customHeight="1">
      <c r="A25" s="9">
        <v>23</v>
      </c>
      <c r="B25" s="3" t="s">
        <v>102</v>
      </c>
      <c r="C25" s="3" t="s">
        <v>21</v>
      </c>
      <c r="D25" s="3">
        <f t="shared" si="0"/>
        <v>2017</v>
      </c>
      <c r="E25" s="6">
        <v>43035</v>
      </c>
      <c r="F25" s="6">
        <v>44589</v>
      </c>
      <c r="G25" s="3">
        <f t="shared" ref="G25:G33" si="3">F25-E25</f>
        <v>1554</v>
      </c>
      <c r="H25" s="3" t="s">
        <v>22</v>
      </c>
      <c r="I25" s="3" t="s">
        <v>341</v>
      </c>
      <c r="J25" s="3" t="s">
        <v>59</v>
      </c>
      <c r="K25" s="3" t="s">
        <v>391</v>
      </c>
      <c r="L25" s="9" t="s">
        <v>103</v>
      </c>
      <c r="M25" s="9" t="s">
        <v>393</v>
      </c>
      <c r="N25" s="9" t="s">
        <v>351</v>
      </c>
      <c r="O25" s="9" t="s">
        <v>359</v>
      </c>
      <c r="P25" s="9" t="s">
        <v>398</v>
      </c>
      <c r="Q25" s="9">
        <v>16</v>
      </c>
      <c r="R25" s="9" t="s">
        <v>414</v>
      </c>
      <c r="S25" s="9" t="s">
        <v>358</v>
      </c>
      <c r="T25" s="9" t="s">
        <v>385</v>
      </c>
      <c r="U25" s="9" t="s">
        <v>104</v>
      </c>
      <c r="V25" s="9" t="s">
        <v>363</v>
      </c>
      <c r="W25" s="9" t="s">
        <v>371</v>
      </c>
      <c r="X25" s="9"/>
      <c r="Y25" s="9" t="s">
        <v>374</v>
      </c>
      <c r="Z25" s="9"/>
      <c r="AA25" s="9"/>
      <c r="AB25" s="9"/>
      <c r="AC25" s="9" t="s">
        <v>26</v>
      </c>
      <c r="AD25" s="9"/>
      <c r="AE25" s="9" t="s">
        <v>403</v>
      </c>
      <c r="AF25" s="9" t="s">
        <v>386</v>
      </c>
      <c r="AG25" s="9"/>
      <c r="AH25" s="9"/>
      <c r="AI25" s="9" t="s">
        <v>413</v>
      </c>
      <c r="AJ25" s="9"/>
      <c r="AK25" s="9"/>
      <c r="AL25" s="9"/>
      <c r="AM25" s="13" t="s">
        <v>105</v>
      </c>
    </row>
    <row r="26" spans="1:39" ht="100" customHeight="1">
      <c r="A26" s="9">
        <v>24</v>
      </c>
      <c r="B26" s="3" t="s">
        <v>106</v>
      </c>
      <c r="C26" s="3" t="s">
        <v>21</v>
      </c>
      <c r="D26" s="3">
        <f t="shared" si="0"/>
        <v>2017</v>
      </c>
      <c r="E26" s="6">
        <v>43045</v>
      </c>
      <c r="F26" s="6">
        <v>43515</v>
      </c>
      <c r="G26" s="3">
        <f t="shared" si="3"/>
        <v>470</v>
      </c>
      <c r="H26" s="3" t="s">
        <v>22</v>
      </c>
      <c r="I26" s="3" t="s">
        <v>341</v>
      </c>
      <c r="J26" s="3" t="s">
        <v>86</v>
      </c>
      <c r="K26" s="3" t="s">
        <v>391</v>
      </c>
      <c r="L26" s="9" t="s">
        <v>459</v>
      </c>
      <c r="M26" s="9" t="s">
        <v>419</v>
      </c>
      <c r="N26" s="9" t="s">
        <v>383</v>
      </c>
      <c r="O26" s="9" t="s">
        <v>359</v>
      </c>
      <c r="P26" s="9" t="s">
        <v>398</v>
      </c>
      <c r="Q26" s="9">
        <v>2</v>
      </c>
      <c r="R26" s="9" t="s">
        <v>414</v>
      </c>
      <c r="S26" s="9" t="s">
        <v>358</v>
      </c>
      <c r="T26" s="9" t="s">
        <v>406</v>
      </c>
      <c r="U26" s="9" t="s">
        <v>107</v>
      </c>
      <c r="V26" s="9" t="s">
        <v>461</v>
      </c>
      <c r="W26" s="9" t="s">
        <v>371</v>
      </c>
      <c r="X26" s="9" t="s">
        <v>372</v>
      </c>
      <c r="Y26" s="9"/>
      <c r="Z26" s="9"/>
      <c r="AA26" s="9"/>
      <c r="AB26" s="9"/>
      <c r="AC26" s="9" t="s">
        <v>26</v>
      </c>
      <c r="AD26" s="9"/>
      <c r="AE26" s="9" t="s">
        <v>123</v>
      </c>
      <c r="AF26" s="9"/>
      <c r="AG26" s="9"/>
      <c r="AH26" s="9"/>
      <c r="AI26" s="9"/>
      <c r="AJ26" s="9"/>
      <c r="AK26" s="9"/>
      <c r="AL26" s="9"/>
      <c r="AM26" s="12" t="s">
        <v>460</v>
      </c>
    </row>
    <row r="27" spans="1:39" ht="100" customHeight="1">
      <c r="A27" s="9">
        <v>25</v>
      </c>
      <c r="B27" s="3" t="s">
        <v>108</v>
      </c>
      <c r="C27" s="3" t="s">
        <v>21</v>
      </c>
      <c r="D27" s="3">
        <f t="shared" si="0"/>
        <v>2017</v>
      </c>
      <c r="E27" s="6">
        <v>43076</v>
      </c>
      <c r="F27" s="6">
        <v>43485</v>
      </c>
      <c r="G27" s="3">
        <f t="shared" si="3"/>
        <v>409</v>
      </c>
      <c r="H27" s="3" t="s">
        <v>109</v>
      </c>
      <c r="I27" s="3" t="s">
        <v>341</v>
      </c>
      <c r="J27" s="3" t="s">
        <v>463</v>
      </c>
      <c r="K27" s="3" t="s">
        <v>338</v>
      </c>
      <c r="L27" s="9" t="s">
        <v>462</v>
      </c>
      <c r="M27" s="9" t="s">
        <v>382</v>
      </c>
      <c r="N27" s="9" t="s">
        <v>383</v>
      </c>
      <c r="O27" s="9" t="s">
        <v>384</v>
      </c>
      <c r="P27" s="9" t="s">
        <v>398</v>
      </c>
      <c r="Q27" s="9">
        <v>4</v>
      </c>
      <c r="R27" s="9"/>
      <c r="S27" s="9" t="s">
        <v>358</v>
      </c>
      <c r="T27" s="9" t="s">
        <v>406</v>
      </c>
      <c r="U27" s="9" t="s">
        <v>464</v>
      </c>
      <c r="V27" s="9" t="s">
        <v>465</v>
      </c>
      <c r="W27" s="9" t="s">
        <v>466</v>
      </c>
      <c r="X27" s="9" t="s">
        <v>372</v>
      </c>
      <c r="Y27" s="9"/>
      <c r="Z27" s="9"/>
      <c r="AA27" s="9"/>
      <c r="AB27" s="9"/>
      <c r="AC27" s="9"/>
      <c r="AD27" s="9" t="s">
        <v>122</v>
      </c>
      <c r="AE27" s="9"/>
      <c r="AF27" s="9" t="s">
        <v>467</v>
      </c>
      <c r="AG27" s="9"/>
      <c r="AH27" s="9"/>
      <c r="AI27" s="9" t="s">
        <v>413</v>
      </c>
      <c r="AJ27" s="9"/>
      <c r="AK27" s="9"/>
      <c r="AL27" s="9"/>
      <c r="AM27" s="13" t="s">
        <v>110</v>
      </c>
    </row>
    <row r="28" spans="1:39" ht="100" customHeight="1">
      <c r="A28" s="9">
        <v>26</v>
      </c>
      <c r="B28" s="3" t="s">
        <v>111</v>
      </c>
      <c r="C28" s="3" t="s">
        <v>16</v>
      </c>
      <c r="D28" s="3">
        <f t="shared" si="0"/>
        <v>2018</v>
      </c>
      <c r="E28" s="6">
        <v>43129</v>
      </c>
      <c r="F28" s="6">
        <v>43195</v>
      </c>
      <c r="G28" s="3">
        <f t="shared" si="3"/>
        <v>66</v>
      </c>
      <c r="H28" s="3" t="s">
        <v>112</v>
      </c>
      <c r="I28" s="3" t="s">
        <v>340</v>
      </c>
      <c r="J28" s="3" t="s">
        <v>470</v>
      </c>
      <c r="K28" s="3" t="s">
        <v>338</v>
      </c>
      <c r="L28" s="9" t="s">
        <v>113</v>
      </c>
      <c r="M28" s="9" t="s">
        <v>400</v>
      </c>
      <c r="N28" s="9" t="s">
        <v>351</v>
      </c>
      <c r="O28" s="9" t="s">
        <v>384</v>
      </c>
      <c r="P28" s="9" t="s">
        <v>398</v>
      </c>
      <c r="Q28" s="9">
        <v>25</v>
      </c>
      <c r="R28" s="9" t="s">
        <v>414</v>
      </c>
      <c r="S28" s="9" t="s">
        <v>358</v>
      </c>
      <c r="T28" s="9" t="s">
        <v>469</v>
      </c>
      <c r="U28" s="9" t="s">
        <v>114</v>
      </c>
      <c r="V28" s="9" t="s">
        <v>461</v>
      </c>
      <c r="W28" s="9" t="s">
        <v>371</v>
      </c>
      <c r="X28" s="9"/>
      <c r="Y28" s="9" t="s">
        <v>374</v>
      </c>
      <c r="Z28" s="9"/>
      <c r="AA28" s="9"/>
      <c r="AB28" s="9"/>
      <c r="AC28" s="9"/>
      <c r="AD28" s="9" t="s">
        <v>471</v>
      </c>
      <c r="AE28" s="9"/>
      <c r="AF28" s="9"/>
      <c r="AG28" s="9"/>
      <c r="AH28" s="9"/>
      <c r="AI28" s="9" t="s">
        <v>413</v>
      </c>
      <c r="AJ28" s="9" t="s">
        <v>423</v>
      </c>
      <c r="AK28" s="9" t="s">
        <v>370</v>
      </c>
      <c r="AL28" s="9" t="s">
        <v>344</v>
      </c>
      <c r="AM28" s="13" t="s">
        <v>468</v>
      </c>
    </row>
    <row r="29" spans="1:39" ht="100" customHeight="1">
      <c r="A29" s="9">
        <v>27</v>
      </c>
      <c r="B29" s="3" t="s">
        <v>115</v>
      </c>
      <c r="C29" s="3" t="s">
        <v>21</v>
      </c>
      <c r="D29" s="3">
        <f t="shared" si="0"/>
        <v>2018</v>
      </c>
      <c r="E29" s="6">
        <v>43147</v>
      </c>
      <c r="F29" s="6">
        <v>44475</v>
      </c>
      <c r="G29" s="3">
        <f t="shared" si="3"/>
        <v>1328</v>
      </c>
      <c r="H29" s="3" t="s">
        <v>22</v>
      </c>
      <c r="I29" s="3" t="s">
        <v>341</v>
      </c>
      <c r="J29" s="3" t="s">
        <v>51</v>
      </c>
      <c r="K29" s="3" t="s">
        <v>338</v>
      </c>
      <c r="L29" s="9" t="s">
        <v>473</v>
      </c>
      <c r="M29" s="9" t="s">
        <v>393</v>
      </c>
      <c r="N29" s="9" t="s">
        <v>397</v>
      </c>
      <c r="O29" s="9" t="s">
        <v>359</v>
      </c>
      <c r="P29" s="9" t="s">
        <v>398</v>
      </c>
      <c r="Q29" s="9">
        <v>12</v>
      </c>
      <c r="R29" s="9" t="s">
        <v>360</v>
      </c>
      <c r="S29" s="9" t="s">
        <v>399</v>
      </c>
      <c r="T29" s="9" t="s">
        <v>385</v>
      </c>
      <c r="U29" s="9" t="s">
        <v>116</v>
      </c>
      <c r="V29" s="9" t="s">
        <v>461</v>
      </c>
      <c r="W29" s="9" t="s">
        <v>371</v>
      </c>
      <c r="X29" s="9" t="s">
        <v>372</v>
      </c>
      <c r="Y29" s="9" t="s">
        <v>374</v>
      </c>
      <c r="Z29" s="9"/>
      <c r="AA29" s="9"/>
      <c r="AB29" s="9" t="s">
        <v>367</v>
      </c>
      <c r="AC29" s="9" t="s">
        <v>26</v>
      </c>
      <c r="AD29" s="9"/>
      <c r="AE29" s="9" t="s">
        <v>403</v>
      </c>
      <c r="AF29" s="9"/>
      <c r="AG29" s="9"/>
      <c r="AH29" s="9" t="s">
        <v>366</v>
      </c>
      <c r="AI29" s="9" t="s">
        <v>413</v>
      </c>
      <c r="AJ29" s="9" t="s">
        <v>421</v>
      </c>
      <c r="AK29" s="9"/>
      <c r="AL29" s="9"/>
      <c r="AM29" s="12" t="s">
        <v>472</v>
      </c>
    </row>
    <row r="30" spans="1:39" ht="100" customHeight="1">
      <c r="A30" s="9">
        <v>28</v>
      </c>
      <c r="B30" s="3" t="s">
        <v>475</v>
      </c>
      <c r="C30" s="3" t="s">
        <v>21</v>
      </c>
      <c r="D30" s="3">
        <f t="shared" si="0"/>
        <v>2018</v>
      </c>
      <c r="E30" s="6">
        <v>43147</v>
      </c>
      <c r="F30" s="6">
        <v>44334</v>
      </c>
      <c r="G30" s="3">
        <f t="shared" si="3"/>
        <v>1187</v>
      </c>
      <c r="H30" s="3" t="s">
        <v>22</v>
      </c>
      <c r="I30" s="3" t="s">
        <v>341</v>
      </c>
      <c r="J30" s="3" t="s">
        <v>117</v>
      </c>
      <c r="K30" s="3" t="s">
        <v>391</v>
      </c>
      <c r="L30" s="9" t="s">
        <v>474</v>
      </c>
      <c r="M30" s="9" t="s">
        <v>382</v>
      </c>
      <c r="N30" s="9" t="s">
        <v>351</v>
      </c>
      <c r="O30" s="9" t="s">
        <v>433</v>
      </c>
      <c r="P30" s="9" t="s">
        <v>398</v>
      </c>
      <c r="Q30" s="9">
        <v>8</v>
      </c>
      <c r="R30" s="9"/>
      <c r="S30" s="9" t="s">
        <v>399</v>
      </c>
      <c r="T30" s="9" t="s">
        <v>385</v>
      </c>
      <c r="U30" s="9" t="s">
        <v>118</v>
      </c>
      <c r="V30" s="9" t="s">
        <v>461</v>
      </c>
      <c r="W30" s="9" t="s">
        <v>371</v>
      </c>
      <c r="X30" s="9" t="s">
        <v>372</v>
      </c>
      <c r="Y30" s="9" t="s">
        <v>374</v>
      </c>
      <c r="Z30" s="9"/>
      <c r="AA30" s="9"/>
      <c r="AB30" s="9" t="s">
        <v>367</v>
      </c>
      <c r="AC30" s="9" t="s">
        <v>26</v>
      </c>
      <c r="AD30" s="9"/>
      <c r="AE30" s="9" t="s">
        <v>420</v>
      </c>
      <c r="AF30" s="9"/>
      <c r="AG30" s="9"/>
      <c r="AH30" s="9" t="s">
        <v>366</v>
      </c>
      <c r="AI30" s="9" t="s">
        <v>413</v>
      </c>
      <c r="AJ30" s="9" t="s">
        <v>423</v>
      </c>
      <c r="AK30" s="9"/>
      <c r="AL30" s="9"/>
      <c r="AM30" s="13" t="s">
        <v>119</v>
      </c>
    </row>
    <row r="31" spans="1:39" ht="100" customHeight="1">
      <c r="A31" s="9">
        <v>29</v>
      </c>
      <c r="B31" s="3" t="s">
        <v>120</v>
      </c>
      <c r="C31" s="3" t="s">
        <v>21</v>
      </c>
      <c r="D31" s="3">
        <f t="shared" si="0"/>
        <v>2018</v>
      </c>
      <c r="E31" s="6">
        <v>43243</v>
      </c>
      <c r="F31" s="6">
        <v>44280</v>
      </c>
      <c r="G31" s="3">
        <f t="shared" si="3"/>
        <v>1037</v>
      </c>
      <c r="H31" s="3" t="s">
        <v>480</v>
      </c>
      <c r="I31" s="3" t="s">
        <v>341</v>
      </c>
      <c r="J31" s="3" t="s">
        <v>480</v>
      </c>
      <c r="K31" s="3" t="s">
        <v>391</v>
      </c>
      <c r="L31" s="9" t="s">
        <v>121</v>
      </c>
      <c r="M31" s="9" t="s">
        <v>551</v>
      </c>
      <c r="N31" s="9" t="s">
        <v>550</v>
      </c>
      <c r="O31" s="9" t="s">
        <v>384</v>
      </c>
      <c r="P31" s="9" t="s">
        <v>398</v>
      </c>
      <c r="Q31" s="9"/>
      <c r="R31" s="9" t="s">
        <v>479</v>
      </c>
      <c r="S31" s="9" t="s">
        <v>477</v>
      </c>
      <c r="T31" s="9" t="s">
        <v>481</v>
      </c>
      <c r="U31" s="9" t="s">
        <v>478</v>
      </c>
      <c r="V31" s="9" t="s">
        <v>465</v>
      </c>
      <c r="W31" s="9" t="s">
        <v>371</v>
      </c>
      <c r="X31" s="9"/>
      <c r="Y31" s="9"/>
      <c r="Z31" s="9"/>
      <c r="AA31" s="9"/>
      <c r="AB31" s="9"/>
      <c r="AC31" s="9"/>
      <c r="AD31" s="9" t="s">
        <v>122</v>
      </c>
      <c r="AE31" s="9" t="s">
        <v>123</v>
      </c>
      <c r="AF31" s="9"/>
      <c r="AG31" s="9"/>
      <c r="AH31" s="9"/>
      <c r="AI31" s="9"/>
      <c r="AJ31" s="9"/>
      <c r="AK31" s="9"/>
      <c r="AL31" s="9"/>
      <c r="AM31" s="12" t="s">
        <v>476</v>
      </c>
    </row>
    <row r="32" spans="1:39" ht="100" customHeight="1">
      <c r="A32" s="9">
        <v>30</v>
      </c>
      <c r="B32" s="3" t="s">
        <v>482</v>
      </c>
      <c r="C32" s="3" t="s">
        <v>21</v>
      </c>
      <c r="D32" s="3">
        <f t="shared" si="0"/>
        <v>2018</v>
      </c>
      <c r="E32" s="6">
        <v>43430</v>
      </c>
      <c r="F32" s="6">
        <v>44770</v>
      </c>
      <c r="G32" s="3">
        <f t="shared" si="3"/>
        <v>1340</v>
      </c>
      <c r="H32" s="3" t="s">
        <v>124</v>
      </c>
      <c r="I32" s="3" t="s">
        <v>341</v>
      </c>
      <c r="J32" s="3" t="s">
        <v>484</v>
      </c>
      <c r="K32" s="3" t="s">
        <v>391</v>
      </c>
      <c r="L32" s="9" t="s">
        <v>483</v>
      </c>
      <c r="M32" s="9" t="s">
        <v>400</v>
      </c>
      <c r="N32" s="9" t="s">
        <v>383</v>
      </c>
      <c r="O32" s="9" t="s">
        <v>384</v>
      </c>
      <c r="P32" s="9" t="s">
        <v>398</v>
      </c>
      <c r="Q32" s="9"/>
      <c r="R32" s="9"/>
      <c r="S32" s="9" t="s">
        <v>358</v>
      </c>
      <c r="T32" s="9" t="s">
        <v>406</v>
      </c>
      <c r="U32" s="9" t="s">
        <v>125</v>
      </c>
      <c r="V32" s="9" t="s">
        <v>465</v>
      </c>
      <c r="W32" s="9" t="s">
        <v>371</v>
      </c>
      <c r="X32" s="9"/>
      <c r="Y32" s="9" t="s">
        <v>374</v>
      </c>
      <c r="Z32" s="9"/>
      <c r="AA32" s="9"/>
      <c r="AB32" s="9"/>
      <c r="AC32" s="9"/>
      <c r="AD32" s="9"/>
      <c r="AE32" s="9" t="s">
        <v>403</v>
      </c>
      <c r="AF32" s="9"/>
      <c r="AG32" s="9"/>
      <c r="AH32" s="9"/>
      <c r="AI32" s="9" t="s">
        <v>413</v>
      </c>
      <c r="AJ32" s="9"/>
      <c r="AK32" s="9"/>
      <c r="AL32" s="9"/>
      <c r="AM32" s="13" t="s">
        <v>126</v>
      </c>
    </row>
    <row r="33" spans="1:39" ht="100" customHeight="1">
      <c r="A33" s="9">
        <v>31</v>
      </c>
      <c r="B33" s="3" t="s">
        <v>127</v>
      </c>
      <c r="C33" s="3" t="s">
        <v>16</v>
      </c>
      <c r="D33" s="3">
        <f t="shared" si="0"/>
        <v>2019</v>
      </c>
      <c r="E33" s="6">
        <v>43598</v>
      </c>
      <c r="F33" s="6">
        <v>44827</v>
      </c>
      <c r="G33" s="3">
        <f t="shared" si="3"/>
        <v>1229</v>
      </c>
      <c r="H33" s="3" t="s">
        <v>128</v>
      </c>
      <c r="I33" s="3" t="s">
        <v>341</v>
      </c>
      <c r="J33" s="3"/>
      <c r="K33" s="3" t="s">
        <v>391</v>
      </c>
      <c r="L33" s="9" t="s">
        <v>129</v>
      </c>
      <c r="M33" s="9" t="s">
        <v>551</v>
      </c>
      <c r="N33" s="9" t="s">
        <v>410</v>
      </c>
      <c r="O33" s="9" t="s">
        <v>384</v>
      </c>
      <c r="P33" s="9" t="s">
        <v>398</v>
      </c>
      <c r="Q33" s="9">
        <v>6</v>
      </c>
      <c r="R33" s="9" t="s">
        <v>414</v>
      </c>
      <c r="S33" s="9" t="s">
        <v>358</v>
      </c>
      <c r="T33" s="9" t="s">
        <v>406</v>
      </c>
      <c r="U33" s="9" t="s">
        <v>130</v>
      </c>
      <c r="V33" s="9" t="s">
        <v>560</v>
      </c>
      <c r="W33" s="9" t="s">
        <v>449</v>
      </c>
      <c r="X33" s="9" t="s">
        <v>372</v>
      </c>
      <c r="Y33" s="9" t="s">
        <v>374</v>
      </c>
      <c r="Z33" s="9"/>
      <c r="AA33" s="9"/>
      <c r="AB33" s="9" t="s">
        <v>367</v>
      </c>
      <c r="AC33" s="9"/>
      <c r="AD33" s="9" t="s">
        <v>485</v>
      </c>
      <c r="AE33" s="9"/>
      <c r="AF33" s="9"/>
      <c r="AG33" s="9"/>
      <c r="AH33" s="9" t="s">
        <v>366</v>
      </c>
      <c r="AI33" s="9" t="s">
        <v>413</v>
      </c>
      <c r="AJ33" s="9" t="s">
        <v>454</v>
      </c>
      <c r="AK33" s="9" t="s">
        <v>486</v>
      </c>
      <c r="AL33" s="9" t="s">
        <v>487</v>
      </c>
      <c r="AM33" s="13" t="s">
        <v>131</v>
      </c>
    </row>
    <row r="34" spans="1:39" ht="100" customHeight="1">
      <c r="A34" s="9">
        <v>32</v>
      </c>
      <c r="B34" s="3" t="s">
        <v>132</v>
      </c>
      <c r="C34" s="3" t="s">
        <v>21</v>
      </c>
      <c r="D34" s="3">
        <f t="shared" si="0"/>
        <v>2019</v>
      </c>
      <c r="E34" s="6">
        <v>43731</v>
      </c>
      <c r="F34" s="6">
        <v>44477</v>
      </c>
      <c r="G34" s="3">
        <v>746</v>
      </c>
      <c r="H34" s="3" t="s">
        <v>133</v>
      </c>
      <c r="I34" s="3" t="s">
        <v>488</v>
      </c>
      <c r="J34" s="3"/>
      <c r="K34" s="3"/>
      <c r="L34" s="9" t="s">
        <v>134</v>
      </c>
      <c r="M34" s="9" t="s">
        <v>551</v>
      </c>
      <c r="N34" s="9" t="s">
        <v>351</v>
      </c>
      <c r="O34" s="9" t="s">
        <v>359</v>
      </c>
      <c r="P34" s="9" t="s">
        <v>355</v>
      </c>
      <c r="Q34" s="9">
        <v>16</v>
      </c>
      <c r="R34" s="9" t="s">
        <v>479</v>
      </c>
      <c r="S34" s="9" t="s">
        <v>358</v>
      </c>
      <c r="T34" s="9" t="s">
        <v>469</v>
      </c>
      <c r="U34" s="9" t="s">
        <v>135</v>
      </c>
      <c r="V34" s="9" t="s">
        <v>465</v>
      </c>
      <c r="W34" s="9" t="s">
        <v>449</v>
      </c>
      <c r="X34" s="9"/>
      <c r="Y34" s="9"/>
      <c r="Z34" s="9" t="s">
        <v>376</v>
      </c>
      <c r="AA34" s="9"/>
      <c r="AB34" s="9" t="s">
        <v>367</v>
      </c>
      <c r="AC34" s="9"/>
      <c r="AD34" s="9" t="s">
        <v>456</v>
      </c>
      <c r="AE34" s="9" t="s">
        <v>450</v>
      </c>
      <c r="AF34" s="9"/>
      <c r="AG34" s="9"/>
      <c r="AH34" s="9" t="s">
        <v>432</v>
      </c>
      <c r="AI34" s="9"/>
      <c r="AJ34" s="9"/>
      <c r="AK34" s="9"/>
      <c r="AL34" s="9"/>
      <c r="AM34" s="13" t="s">
        <v>136</v>
      </c>
    </row>
    <row r="35" spans="1:39" ht="100" customHeight="1">
      <c r="A35" s="9">
        <v>33</v>
      </c>
      <c r="B35" s="3" t="s">
        <v>137</v>
      </c>
      <c r="C35" s="3" t="s">
        <v>67</v>
      </c>
      <c r="D35" s="3">
        <f t="shared" ref="D35:D66" si="4">YEAR(E35)</f>
        <v>2019</v>
      </c>
      <c r="E35" s="6">
        <v>43763</v>
      </c>
      <c r="F35" s="6"/>
      <c r="G35" s="3"/>
      <c r="H35" s="3" t="s">
        <v>124</v>
      </c>
      <c r="I35" s="3" t="s">
        <v>341</v>
      </c>
      <c r="J35" s="3" t="s">
        <v>490</v>
      </c>
      <c r="K35" s="3" t="s">
        <v>338</v>
      </c>
      <c r="L35" s="9" t="s">
        <v>138</v>
      </c>
      <c r="M35" s="9" t="s">
        <v>382</v>
      </c>
      <c r="N35" s="9" t="s">
        <v>383</v>
      </c>
      <c r="O35" s="9" t="s">
        <v>359</v>
      </c>
      <c r="P35" s="9" t="s">
        <v>398</v>
      </c>
      <c r="Q35" s="9">
        <v>15</v>
      </c>
      <c r="R35" s="9"/>
      <c r="S35" s="9" t="s">
        <v>399</v>
      </c>
      <c r="T35" s="9" t="s">
        <v>406</v>
      </c>
      <c r="U35" s="9" t="s">
        <v>139</v>
      </c>
      <c r="V35" s="9" t="s">
        <v>461</v>
      </c>
      <c r="W35" s="9" t="s">
        <v>371</v>
      </c>
      <c r="X35" s="9"/>
      <c r="Y35" s="9" t="s">
        <v>374</v>
      </c>
      <c r="Z35" s="9"/>
      <c r="AA35" s="9"/>
      <c r="AB35" s="9"/>
      <c r="AC35" s="9" t="s">
        <v>26</v>
      </c>
      <c r="AD35" s="9" t="s">
        <v>456</v>
      </c>
      <c r="AE35" s="9"/>
      <c r="AF35" s="9"/>
      <c r="AG35" s="9"/>
      <c r="AH35" s="9"/>
      <c r="AI35" s="9"/>
      <c r="AJ35" s="9"/>
      <c r="AK35" s="9"/>
      <c r="AL35" s="9"/>
      <c r="AM35" s="13" t="s">
        <v>489</v>
      </c>
    </row>
    <row r="36" spans="1:39" ht="100" customHeight="1">
      <c r="A36" s="9">
        <v>34</v>
      </c>
      <c r="B36" s="3" t="s">
        <v>140</v>
      </c>
      <c r="C36" s="3" t="s">
        <v>67</v>
      </c>
      <c r="D36" s="3">
        <f t="shared" si="4"/>
        <v>2019</v>
      </c>
      <c r="E36" s="6">
        <v>43794</v>
      </c>
      <c r="F36" s="6"/>
      <c r="G36" s="3"/>
      <c r="H36" s="3" t="s">
        <v>124</v>
      </c>
      <c r="I36" s="3" t="s">
        <v>341</v>
      </c>
      <c r="J36" s="3" t="s">
        <v>492</v>
      </c>
      <c r="K36" s="3" t="s">
        <v>338</v>
      </c>
      <c r="L36" s="9" t="s">
        <v>493</v>
      </c>
      <c r="M36" s="9" t="s">
        <v>419</v>
      </c>
      <c r="N36" s="9" t="s">
        <v>351</v>
      </c>
      <c r="O36" s="9" t="s">
        <v>384</v>
      </c>
      <c r="P36" s="9" t="s">
        <v>398</v>
      </c>
      <c r="Q36" s="9">
        <v>7</v>
      </c>
      <c r="R36" s="9"/>
      <c r="S36" s="9" t="s">
        <v>358</v>
      </c>
      <c r="T36" s="9" t="s">
        <v>385</v>
      </c>
      <c r="U36" s="9" t="s">
        <v>141</v>
      </c>
      <c r="V36" s="9" t="s">
        <v>394</v>
      </c>
      <c r="W36" s="9" t="s">
        <v>494</v>
      </c>
      <c r="X36" s="9"/>
      <c r="Y36" s="9" t="s">
        <v>374</v>
      </c>
      <c r="Z36" s="9"/>
      <c r="AA36" s="9"/>
      <c r="AB36" s="9" t="s">
        <v>367</v>
      </c>
      <c r="AC36" s="9"/>
      <c r="AD36" s="9" t="s">
        <v>122</v>
      </c>
      <c r="AE36" s="9"/>
      <c r="AF36" s="9"/>
      <c r="AG36" s="9"/>
      <c r="AH36" s="9"/>
      <c r="AI36" s="9"/>
      <c r="AJ36" s="9"/>
      <c r="AK36" s="9"/>
      <c r="AL36" s="9"/>
      <c r="AM36" s="12" t="s">
        <v>491</v>
      </c>
    </row>
    <row r="37" spans="1:39" ht="100" customHeight="1">
      <c r="A37" s="9">
        <v>35</v>
      </c>
      <c r="B37" s="3" t="s">
        <v>495</v>
      </c>
      <c r="C37" s="3" t="s">
        <v>67</v>
      </c>
      <c r="D37" s="3">
        <f t="shared" si="4"/>
        <v>2019</v>
      </c>
      <c r="E37" s="6">
        <v>43804</v>
      </c>
      <c r="F37" s="6"/>
      <c r="G37" s="3"/>
      <c r="H37" s="3" t="s">
        <v>142</v>
      </c>
      <c r="I37" s="3" t="s">
        <v>340</v>
      </c>
      <c r="J37" s="3" t="s">
        <v>506</v>
      </c>
      <c r="K37" s="3" t="s">
        <v>338</v>
      </c>
      <c r="L37" s="9" t="s">
        <v>505</v>
      </c>
      <c r="M37" s="9" t="s">
        <v>419</v>
      </c>
      <c r="N37" s="9" t="s">
        <v>351</v>
      </c>
      <c r="O37" s="9" t="s">
        <v>384</v>
      </c>
      <c r="P37" s="9" t="s">
        <v>398</v>
      </c>
      <c r="Q37" s="9" t="s">
        <v>143</v>
      </c>
      <c r="R37" s="9"/>
      <c r="S37" s="9" t="s">
        <v>358</v>
      </c>
      <c r="T37" s="9" t="s">
        <v>406</v>
      </c>
      <c r="U37" s="9" t="s">
        <v>502</v>
      </c>
      <c r="V37" s="9" t="s">
        <v>465</v>
      </c>
      <c r="W37" s="9" t="s">
        <v>371</v>
      </c>
      <c r="X37" s="9" t="s">
        <v>372</v>
      </c>
      <c r="Y37" s="9" t="s">
        <v>374</v>
      </c>
      <c r="Z37" s="9"/>
      <c r="AA37" s="9"/>
      <c r="AB37" s="9"/>
      <c r="AC37" s="9"/>
      <c r="AD37" s="9"/>
      <c r="AE37" s="9"/>
      <c r="AF37" s="9"/>
      <c r="AG37" s="9"/>
      <c r="AH37" s="9" t="s">
        <v>366</v>
      </c>
      <c r="AI37" s="9"/>
      <c r="AJ37" s="9"/>
      <c r="AK37" s="9"/>
      <c r="AL37" s="9"/>
      <c r="AM37" s="12" t="s">
        <v>501</v>
      </c>
    </row>
    <row r="38" spans="1:39" ht="100" customHeight="1">
      <c r="A38" s="9">
        <v>36</v>
      </c>
      <c r="B38" s="3" t="s">
        <v>144</v>
      </c>
      <c r="C38" s="3" t="s">
        <v>67</v>
      </c>
      <c r="D38" s="3">
        <f t="shared" si="4"/>
        <v>2019</v>
      </c>
      <c r="E38" s="6">
        <v>43815</v>
      </c>
      <c r="F38" s="6"/>
      <c r="G38" s="3"/>
      <c r="H38" s="3" t="s">
        <v>145</v>
      </c>
      <c r="I38" s="3" t="s">
        <v>340</v>
      </c>
      <c r="J38" s="3" t="s">
        <v>504</v>
      </c>
      <c r="K38" s="3" t="s">
        <v>338</v>
      </c>
      <c r="L38" s="9" t="s">
        <v>146</v>
      </c>
      <c r="M38" s="9" t="s">
        <v>400</v>
      </c>
      <c r="N38" s="9" t="s">
        <v>351</v>
      </c>
      <c r="O38" s="9" t="s">
        <v>359</v>
      </c>
      <c r="P38" s="9" t="s">
        <v>398</v>
      </c>
      <c r="Q38" s="9">
        <v>7</v>
      </c>
      <c r="R38" s="9"/>
      <c r="S38" s="9" t="s">
        <v>399</v>
      </c>
      <c r="T38" s="9" t="s">
        <v>406</v>
      </c>
      <c r="U38" s="9" t="s">
        <v>147</v>
      </c>
      <c r="V38" s="9" t="s">
        <v>461</v>
      </c>
      <c r="W38" s="9" t="s">
        <v>371</v>
      </c>
      <c r="X38" s="9" t="s">
        <v>372</v>
      </c>
      <c r="Y38" s="9" t="s">
        <v>374</v>
      </c>
      <c r="Z38" s="9"/>
      <c r="AA38" s="9"/>
      <c r="AB38" s="9" t="s">
        <v>367</v>
      </c>
      <c r="AC38" s="9"/>
      <c r="AD38" s="9"/>
      <c r="AE38" s="9"/>
      <c r="AF38" s="9"/>
      <c r="AG38" s="9"/>
      <c r="AH38" s="9" t="s">
        <v>366</v>
      </c>
      <c r="AI38" s="9"/>
      <c r="AJ38" s="9"/>
      <c r="AK38" s="9"/>
      <c r="AL38" s="9"/>
      <c r="AM38" s="12" t="s">
        <v>503</v>
      </c>
    </row>
    <row r="39" spans="1:39" ht="100" customHeight="1">
      <c r="A39" s="9">
        <v>37</v>
      </c>
      <c r="B39" s="3" t="s">
        <v>148</v>
      </c>
      <c r="C39" s="3" t="s">
        <v>520</v>
      </c>
      <c r="D39" s="3">
        <f t="shared" si="4"/>
        <v>2020</v>
      </c>
      <c r="E39" s="6">
        <v>43867</v>
      </c>
      <c r="F39" s="6">
        <v>44279</v>
      </c>
      <c r="G39" s="3">
        <f t="shared" ref="G39:G44" si="5">F39-E39</f>
        <v>412</v>
      </c>
      <c r="H39" s="3" t="s">
        <v>149</v>
      </c>
      <c r="I39" s="3" t="s">
        <v>341</v>
      </c>
      <c r="J39" s="3" t="s">
        <v>507</v>
      </c>
      <c r="K39" s="3" t="s">
        <v>338</v>
      </c>
      <c r="L39" s="9" t="s">
        <v>150</v>
      </c>
      <c r="M39" s="9" t="s">
        <v>155</v>
      </c>
      <c r="N39" s="9" t="s">
        <v>351</v>
      </c>
      <c r="O39" s="9" t="s">
        <v>384</v>
      </c>
      <c r="P39" s="9" t="s">
        <v>398</v>
      </c>
      <c r="Q39" s="9">
        <v>9</v>
      </c>
      <c r="R39" s="9"/>
      <c r="S39" s="9" t="s">
        <v>399</v>
      </c>
      <c r="T39" s="9" t="s">
        <v>406</v>
      </c>
      <c r="U39" s="9" t="s">
        <v>151</v>
      </c>
      <c r="V39" s="9" t="s">
        <v>394</v>
      </c>
      <c r="W39" s="9" t="s">
        <v>371</v>
      </c>
      <c r="X39" s="9" t="s">
        <v>372</v>
      </c>
      <c r="Y39" s="9" t="s">
        <v>374</v>
      </c>
      <c r="Z39" s="9"/>
      <c r="AA39" s="9"/>
      <c r="AB39" s="9" t="s">
        <v>367</v>
      </c>
      <c r="AC39" s="9"/>
      <c r="AD39" s="9"/>
      <c r="AE39" s="9"/>
      <c r="AF39" s="9"/>
      <c r="AG39" s="9"/>
      <c r="AH39" s="9" t="s">
        <v>366</v>
      </c>
      <c r="AI39" s="9" t="s">
        <v>367</v>
      </c>
      <c r="AJ39" s="9" t="s">
        <v>421</v>
      </c>
      <c r="AK39" s="9" t="s">
        <v>370</v>
      </c>
      <c r="AL39" s="9" t="s">
        <v>344</v>
      </c>
      <c r="AM39" s="13" t="s">
        <v>152</v>
      </c>
    </row>
    <row r="40" spans="1:39" ht="100" customHeight="1">
      <c r="A40" s="9">
        <v>38</v>
      </c>
      <c r="B40" s="3" t="s">
        <v>512</v>
      </c>
      <c r="C40" s="3" t="s">
        <v>16</v>
      </c>
      <c r="D40" s="3">
        <f t="shared" si="4"/>
        <v>2020</v>
      </c>
      <c r="E40" s="6">
        <v>43879</v>
      </c>
      <c r="F40" s="6">
        <v>44406</v>
      </c>
      <c r="G40" s="3">
        <f t="shared" si="5"/>
        <v>527</v>
      </c>
      <c r="H40" s="3" t="s">
        <v>153</v>
      </c>
      <c r="I40" s="3" t="s">
        <v>340</v>
      </c>
      <c r="J40" s="3" t="s">
        <v>510</v>
      </c>
      <c r="K40" s="3" t="s">
        <v>391</v>
      </c>
      <c r="L40" s="9" t="s">
        <v>509</v>
      </c>
      <c r="M40" s="9" t="s">
        <v>393</v>
      </c>
      <c r="N40" s="9" t="s">
        <v>351</v>
      </c>
      <c r="O40" s="9" t="s">
        <v>359</v>
      </c>
      <c r="P40" s="9" t="s">
        <v>398</v>
      </c>
      <c r="Q40" s="9">
        <v>9</v>
      </c>
      <c r="R40" s="9" t="s">
        <v>414</v>
      </c>
      <c r="S40" s="9"/>
      <c r="T40" s="9" t="s">
        <v>514</v>
      </c>
      <c r="U40" s="9" t="s">
        <v>513</v>
      </c>
      <c r="V40" s="9" t="s">
        <v>363</v>
      </c>
      <c r="W40" s="9" t="s">
        <v>371</v>
      </c>
      <c r="X40" s="9" t="s">
        <v>372</v>
      </c>
      <c r="Y40" s="9" t="s">
        <v>374</v>
      </c>
      <c r="Z40" s="9"/>
      <c r="AA40" s="9"/>
      <c r="AB40" s="9"/>
      <c r="AC40" s="9"/>
      <c r="AD40" s="9" t="s">
        <v>471</v>
      </c>
      <c r="AE40" s="9"/>
      <c r="AF40" s="9"/>
      <c r="AG40" s="9"/>
      <c r="AH40" s="9" t="s">
        <v>366</v>
      </c>
      <c r="AI40" s="9" t="s">
        <v>413</v>
      </c>
      <c r="AJ40" s="9" t="s">
        <v>454</v>
      </c>
      <c r="AK40" s="9"/>
      <c r="AL40" s="9" t="s">
        <v>344</v>
      </c>
      <c r="AM40" s="13" t="s">
        <v>508</v>
      </c>
    </row>
    <row r="41" spans="1:39" ht="100" customHeight="1">
      <c r="A41" s="9">
        <v>39</v>
      </c>
      <c r="B41" s="3" t="s">
        <v>511</v>
      </c>
      <c r="C41" s="3" t="s">
        <v>16</v>
      </c>
      <c r="D41" s="3">
        <f t="shared" si="4"/>
        <v>2020</v>
      </c>
      <c r="E41" s="6">
        <v>43903</v>
      </c>
      <c r="F41" s="6">
        <v>45533</v>
      </c>
      <c r="G41" s="3">
        <f t="shared" si="5"/>
        <v>1630</v>
      </c>
      <c r="H41" s="3" t="s">
        <v>154</v>
      </c>
      <c r="I41" s="3" t="s">
        <v>341</v>
      </c>
      <c r="J41" s="3"/>
      <c r="K41" s="3"/>
      <c r="L41" s="9" t="s">
        <v>155</v>
      </c>
      <c r="M41" s="9" t="s">
        <v>155</v>
      </c>
      <c r="N41" s="9" t="s">
        <v>351</v>
      </c>
      <c r="O41" s="9" t="s">
        <v>359</v>
      </c>
      <c r="P41" s="9" t="s">
        <v>398</v>
      </c>
      <c r="Q41" s="9">
        <v>19</v>
      </c>
      <c r="R41" s="9"/>
      <c r="S41" s="9" t="s">
        <v>358</v>
      </c>
      <c r="T41" s="9" t="s">
        <v>406</v>
      </c>
      <c r="U41" s="9" t="s">
        <v>156</v>
      </c>
      <c r="V41" s="9" t="s">
        <v>516</v>
      </c>
      <c r="W41" s="9" t="s">
        <v>371</v>
      </c>
      <c r="X41" s="9" t="s">
        <v>372</v>
      </c>
      <c r="Y41" s="9" t="s">
        <v>374</v>
      </c>
      <c r="Z41" s="9"/>
      <c r="AA41" s="9"/>
      <c r="AB41" s="9" t="s">
        <v>367</v>
      </c>
      <c r="AC41" s="9"/>
      <c r="AD41" s="9"/>
      <c r="AE41" s="9"/>
      <c r="AF41" s="9"/>
      <c r="AG41" s="9"/>
      <c r="AH41" s="9" t="s">
        <v>366</v>
      </c>
      <c r="AI41" s="9" t="s">
        <v>367</v>
      </c>
      <c r="AJ41" s="9" t="s">
        <v>421</v>
      </c>
      <c r="AK41" s="9"/>
      <c r="AL41" s="9"/>
      <c r="AM41" s="12" t="s">
        <v>515</v>
      </c>
    </row>
    <row r="42" spans="1:39" ht="100" customHeight="1">
      <c r="A42" s="9">
        <v>40</v>
      </c>
      <c r="B42" s="3" t="s">
        <v>157</v>
      </c>
      <c r="C42" s="3" t="s">
        <v>520</v>
      </c>
      <c r="D42" s="3">
        <f t="shared" si="4"/>
        <v>2020</v>
      </c>
      <c r="E42" s="6">
        <v>43903</v>
      </c>
      <c r="F42" s="6">
        <v>45644</v>
      </c>
      <c r="G42" s="3">
        <f t="shared" si="5"/>
        <v>1741</v>
      </c>
      <c r="H42" s="3" t="s">
        <v>22</v>
      </c>
      <c r="I42" s="3" t="s">
        <v>341</v>
      </c>
      <c r="J42" s="3" t="s">
        <v>38</v>
      </c>
      <c r="K42" s="3" t="s">
        <v>391</v>
      </c>
      <c r="L42" s="9" t="s">
        <v>518</v>
      </c>
      <c r="M42" s="9" t="s">
        <v>400</v>
      </c>
      <c r="N42" s="9" t="s">
        <v>351</v>
      </c>
      <c r="O42" s="9" t="s">
        <v>359</v>
      </c>
      <c r="P42" s="9" t="s">
        <v>398</v>
      </c>
      <c r="Q42" s="9">
        <v>16</v>
      </c>
      <c r="R42" s="9" t="s">
        <v>414</v>
      </c>
      <c r="S42" s="9" t="s">
        <v>519</v>
      </c>
      <c r="T42" s="9" t="s">
        <v>385</v>
      </c>
      <c r="U42" s="9" t="s">
        <v>158</v>
      </c>
      <c r="V42" s="9" t="s">
        <v>560</v>
      </c>
      <c r="W42" s="9" t="s">
        <v>371</v>
      </c>
      <c r="X42" s="9" t="s">
        <v>372</v>
      </c>
      <c r="Y42" s="9"/>
      <c r="Z42" s="9"/>
      <c r="AA42" s="9"/>
      <c r="AB42" s="9"/>
      <c r="AC42" s="9" t="s">
        <v>26</v>
      </c>
      <c r="AD42" s="9"/>
      <c r="AE42" s="9"/>
      <c r="AF42" s="9"/>
      <c r="AG42" s="9"/>
      <c r="AH42" s="9" t="s">
        <v>366</v>
      </c>
      <c r="AI42" s="9" t="s">
        <v>413</v>
      </c>
      <c r="AJ42" s="9" t="s">
        <v>421</v>
      </c>
      <c r="AK42" s="9"/>
      <c r="AL42" s="9"/>
      <c r="AM42" s="13" t="s">
        <v>517</v>
      </c>
    </row>
    <row r="43" spans="1:39" ht="100" customHeight="1">
      <c r="A43" s="9">
        <v>41</v>
      </c>
      <c r="B43" s="3" t="s">
        <v>159</v>
      </c>
      <c r="C43" s="3" t="s">
        <v>16</v>
      </c>
      <c r="D43" s="3">
        <f t="shared" si="4"/>
        <v>2020</v>
      </c>
      <c r="E43" s="6">
        <v>43947</v>
      </c>
      <c r="F43" s="6">
        <v>45210</v>
      </c>
      <c r="G43" s="3">
        <f t="shared" si="5"/>
        <v>1263</v>
      </c>
      <c r="H43" s="3" t="s">
        <v>160</v>
      </c>
      <c r="I43" s="3" t="s">
        <v>341</v>
      </c>
      <c r="J43" s="3" t="s">
        <v>523</v>
      </c>
      <c r="K43" s="3" t="s">
        <v>391</v>
      </c>
      <c r="L43" s="9" t="s">
        <v>522</v>
      </c>
      <c r="M43" s="9" t="s">
        <v>419</v>
      </c>
      <c r="N43" s="9" t="s">
        <v>351</v>
      </c>
      <c r="O43" s="9" t="s">
        <v>384</v>
      </c>
      <c r="P43" s="9" t="s">
        <v>398</v>
      </c>
      <c r="Q43" s="9"/>
      <c r="R43" s="9"/>
      <c r="S43" s="9" t="s">
        <v>358</v>
      </c>
      <c r="T43" s="9" t="s">
        <v>514</v>
      </c>
      <c r="U43" s="9" t="s">
        <v>524</v>
      </c>
      <c r="V43" s="9" t="s">
        <v>363</v>
      </c>
      <c r="W43" s="9" t="s">
        <v>466</v>
      </c>
      <c r="X43" s="9" t="s">
        <v>372</v>
      </c>
      <c r="Y43" s="9"/>
      <c r="Z43" s="9"/>
      <c r="AA43" s="9"/>
      <c r="AB43" s="9"/>
      <c r="AC43" s="9"/>
      <c r="AD43" s="9" t="s">
        <v>122</v>
      </c>
      <c r="AE43" s="9"/>
      <c r="AF43" s="9"/>
      <c r="AG43" s="9"/>
      <c r="AH43" s="9" t="s">
        <v>366</v>
      </c>
      <c r="AI43" s="9" t="s">
        <v>525</v>
      </c>
      <c r="AJ43" s="9" t="s">
        <v>369</v>
      </c>
      <c r="AK43" s="9" t="s">
        <v>528</v>
      </c>
      <c r="AL43" s="9"/>
      <c r="AM43" s="13" t="s">
        <v>521</v>
      </c>
    </row>
    <row r="44" spans="1:39" ht="100" customHeight="1">
      <c r="A44" s="9">
        <v>42</v>
      </c>
      <c r="B44" s="3" t="s">
        <v>162</v>
      </c>
      <c r="C44" s="3" t="s">
        <v>16</v>
      </c>
      <c r="D44" s="3">
        <f t="shared" si="4"/>
        <v>2020</v>
      </c>
      <c r="E44" s="6">
        <v>43964</v>
      </c>
      <c r="F44" s="6">
        <v>44890</v>
      </c>
      <c r="G44" s="3">
        <f t="shared" si="5"/>
        <v>926</v>
      </c>
      <c r="H44" s="3" t="s">
        <v>163</v>
      </c>
      <c r="I44" s="3" t="s">
        <v>341</v>
      </c>
      <c r="J44" s="3" t="s">
        <v>530</v>
      </c>
      <c r="K44" s="3" t="s">
        <v>391</v>
      </c>
      <c r="L44" s="9" t="s">
        <v>531</v>
      </c>
      <c r="M44" s="9" t="s">
        <v>419</v>
      </c>
      <c r="N44" s="9" t="s">
        <v>383</v>
      </c>
      <c r="O44" s="9" t="s">
        <v>384</v>
      </c>
      <c r="P44" s="9" t="s">
        <v>398</v>
      </c>
      <c r="Q44" s="9"/>
      <c r="R44" s="9" t="s">
        <v>414</v>
      </c>
      <c r="S44" s="9" t="s">
        <v>358</v>
      </c>
      <c r="T44" s="9" t="s">
        <v>532</v>
      </c>
      <c r="U44" s="9" t="s">
        <v>164</v>
      </c>
      <c r="V44" s="9" t="s">
        <v>363</v>
      </c>
      <c r="W44" s="9" t="s">
        <v>466</v>
      </c>
      <c r="X44" s="9" t="s">
        <v>372</v>
      </c>
      <c r="Y44" s="9" t="s">
        <v>374</v>
      </c>
      <c r="Z44" s="9" t="s">
        <v>376</v>
      </c>
      <c r="AA44" s="9"/>
      <c r="AB44" s="9"/>
      <c r="AC44" s="9"/>
      <c r="AD44" s="9"/>
      <c r="AE44" s="9"/>
      <c r="AF44" s="9"/>
      <c r="AG44" s="9"/>
      <c r="AH44" s="9" t="s">
        <v>366</v>
      </c>
      <c r="AI44" s="9" t="s">
        <v>413</v>
      </c>
      <c r="AJ44" s="9" t="s">
        <v>369</v>
      </c>
      <c r="AK44" s="9" t="s">
        <v>486</v>
      </c>
      <c r="AL44" s="9"/>
      <c r="AM44" s="12" t="s">
        <v>529</v>
      </c>
    </row>
    <row r="45" spans="1:39" ht="100" customHeight="1">
      <c r="A45" s="9">
        <v>43</v>
      </c>
      <c r="B45" s="3" t="s">
        <v>165</v>
      </c>
      <c r="C45" s="3" t="s">
        <v>67</v>
      </c>
      <c r="D45" s="3">
        <f t="shared" si="4"/>
        <v>2020</v>
      </c>
      <c r="E45" s="6">
        <v>44014</v>
      </c>
      <c r="F45" s="6"/>
      <c r="G45" s="3"/>
      <c r="H45" s="3" t="s">
        <v>166</v>
      </c>
      <c r="I45" s="3" t="s">
        <v>340</v>
      </c>
      <c r="J45" s="3" t="s">
        <v>534</v>
      </c>
      <c r="K45" s="3" t="s">
        <v>338</v>
      </c>
      <c r="L45" s="9" t="s">
        <v>533</v>
      </c>
      <c r="M45" s="9" t="s">
        <v>400</v>
      </c>
      <c r="N45" s="9" t="s">
        <v>383</v>
      </c>
      <c r="O45" s="9" t="s">
        <v>359</v>
      </c>
      <c r="P45" s="9" t="s">
        <v>398</v>
      </c>
      <c r="Q45" s="9"/>
      <c r="R45" s="9"/>
      <c r="S45" s="9" t="s">
        <v>358</v>
      </c>
      <c r="T45" s="9" t="s">
        <v>406</v>
      </c>
      <c r="U45" s="9" t="s">
        <v>167</v>
      </c>
      <c r="V45" s="9" t="s">
        <v>363</v>
      </c>
      <c r="W45" s="9" t="s">
        <v>371</v>
      </c>
      <c r="X45" s="9" t="s">
        <v>372</v>
      </c>
      <c r="Y45" s="9" t="s">
        <v>374</v>
      </c>
      <c r="Z45" s="9" t="s">
        <v>376</v>
      </c>
      <c r="AA45" s="9"/>
      <c r="AB45" s="9"/>
      <c r="AC45" s="9"/>
      <c r="AD45" s="9" t="s">
        <v>456</v>
      </c>
      <c r="AE45" s="9"/>
      <c r="AF45" s="9"/>
      <c r="AG45" s="9"/>
      <c r="AH45" s="9"/>
      <c r="AI45" s="9"/>
      <c r="AJ45" s="9"/>
      <c r="AK45" s="9"/>
      <c r="AL45" s="9"/>
      <c r="AM45" s="13" t="s">
        <v>168</v>
      </c>
    </row>
    <row r="46" spans="1:39" ht="100" customHeight="1">
      <c r="A46" s="9">
        <v>44</v>
      </c>
      <c r="B46" s="3" t="s">
        <v>169</v>
      </c>
      <c r="C46" s="3" t="s">
        <v>21</v>
      </c>
      <c r="D46" s="3">
        <f t="shared" si="4"/>
        <v>2020</v>
      </c>
      <c r="E46" s="6">
        <v>44076</v>
      </c>
      <c r="F46" s="6">
        <v>45391</v>
      </c>
      <c r="G46" s="3">
        <f>F46-E46</f>
        <v>1315</v>
      </c>
      <c r="H46" s="3" t="s">
        <v>561</v>
      </c>
      <c r="I46" s="3" t="s">
        <v>488</v>
      </c>
      <c r="J46" s="3"/>
      <c r="K46" s="3" t="s">
        <v>391</v>
      </c>
      <c r="L46" s="9" t="s">
        <v>171</v>
      </c>
      <c r="M46" s="9" t="s">
        <v>551</v>
      </c>
      <c r="N46" s="9" t="s">
        <v>351</v>
      </c>
      <c r="O46" s="9" t="s">
        <v>384</v>
      </c>
      <c r="P46" s="9" t="s">
        <v>355</v>
      </c>
      <c r="Q46" s="9">
        <v>6</v>
      </c>
      <c r="R46" s="9"/>
      <c r="S46" s="9" t="s">
        <v>358</v>
      </c>
      <c r="T46" s="9" t="s">
        <v>406</v>
      </c>
      <c r="U46" s="9" t="s">
        <v>172</v>
      </c>
      <c r="V46" s="9" t="s">
        <v>465</v>
      </c>
      <c r="W46" s="9" t="s">
        <v>449</v>
      </c>
      <c r="X46" s="9" t="s">
        <v>372</v>
      </c>
      <c r="Y46" s="9" t="s">
        <v>374</v>
      </c>
      <c r="Z46" s="9"/>
      <c r="AA46" s="9"/>
      <c r="AB46" s="9" t="s">
        <v>367</v>
      </c>
      <c r="AC46" s="9"/>
      <c r="AD46" s="9" t="s">
        <v>170</v>
      </c>
      <c r="AE46" s="9" t="s">
        <v>403</v>
      </c>
      <c r="AF46" s="9"/>
      <c r="AG46" s="9"/>
      <c r="AH46" s="9" t="s">
        <v>432</v>
      </c>
      <c r="AI46" s="9"/>
      <c r="AJ46" s="9"/>
      <c r="AK46" s="9"/>
      <c r="AL46" s="9"/>
      <c r="AM46" s="13" t="s">
        <v>535</v>
      </c>
    </row>
    <row r="47" spans="1:39" ht="100" customHeight="1">
      <c r="A47" s="9">
        <v>45</v>
      </c>
      <c r="B47" s="3" t="s">
        <v>173</v>
      </c>
      <c r="C47" s="3" t="s">
        <v>21</v>
      </c>
      <c r="D47" s="3">
        <f t="shared" si="4"/>
        <v>2020</v>
      </c>
      <c r="E47" s="6">
        <v>44082</v>
      </c>
      <c r="F47" s="6">
        <v>44673</v>
      </c>
      <c r="G47" s="3">
        <f>F47-E47</f>
        <v>591</v>
      </c>
      <c r="H47" s="3" t="s">
        <v>163</v>
      </c>
      <c r="I47" s="3" t="s">
        <v>341</v>
      </c>
      <c r="J47" s="3"/>
      <c r="K47" s="3" t="s">
        <v>338</v>
      </c>
      <c r="L47" s="9" t="s">
        <v>174</v>
      </c>
      <c r="M47" s="9" t="s">
        <v>419</v>
      </c>
      <c r="N47" s="9" t="s">
        <v>351</v>
      </c>
      <c r="O47" s="9" t="s">
        <v>384</v>
      </c>
      <c r="P47" s="9" t="s">
        <v>398</v>
      </c>
      <c r="Q47" s="9">
        <v>8</v>
      </c>
      <c r="R47" s="9"/>
      <c r="S47" s="9" t="s">
        <v>399</v>
      </c>
      <c r="T47" s="9" t="s">
        <v>406</v>
      </c>
      <c r="U47" s="9" t="s">
        <v>175</v>
      </c>
      <c r="V47" s="9" t="s">
        <v>363</v>
      </c>
      <c r="W47" s="9" t="s">
        <v>466</v>
      </c>
      <c r="X47" s="9" t="s">
        <v>372</v>
      </c>
      <c r="Y47" s="9" t="s">
        <v>374</v>
      </c>
      <c r="Z47" s="9"/>
      <c r="AA47" s="9"/>
      <c r="AB47" s="9"/>
      <c r="AC47" s="9"/>
      <c r="AD47" s="9"/>
      <c r="AE47" s="9"/>
      <c r="AF47" s="9" t="s">
        <v>412</v>
      </c>
      <c r="AG47" s="9"/>
      <c r="AH47" s="9" t="s">
        <v>366</v>
      </c>
      <c r="AI47" s="9" t="s">
        <v>537</v>
      </c>
      <c r="AJ47" s="9"/>
      <c r="AK47" s="9"/>
      <c r="AL47" s="9"/>
      <c r="AM47" s="12" t="s">
        <v>536</v>
      </c>
    </row>
    <row r="48" spans="1:39" ht="100" customHeight="1">
      <c r="A48" s="9">
        <v>46</v>
      </c>
      <c r="B48" s="3" t="s">
        <v>176</v>
      </c>
      <c r="C48" s="3" t="s">
        <v>67</v>
      </c>
      <c r="D48" s="3">
        <f t="shared" si="4"/>
        <v>2021</v>
      </c>
      <c r="E48" s="6">
        <v>44231</v>
      </c>
      <c r="F48" s="6"/>
      <c r="G48" s="3"/>
      <c r="H48" s="3" t="s">
        <v>177</v>
      </c>
      <c r="I48" s="3" t="s">
        <v>340</v>
      </c>
      <c r="J48" s="3"/>
      <c r="K48" s="3" t="s">
        <v>391</v>
      </c>
      <c r="L48" s="9" t="s">
        <v>178</v>
      </c>
      <c r="M48" s="9" t="s">
        <v>551</v>
      </c>
      <c r="N48" s="9" t="s">
        <v>351</v>
      </c>
      <c r="O48" s="9" t="s">
        <v>359</v>
      </c>
      <c r="P48" s="9"/>
      <c r="Q48" s="9">
        <v>6</v>
      </c>
      <c r="R48" s="9" t="s">
        <v>416</v>
      </c>
      <c r="S48" s="9"/>
      <c r="T48" s="9" t="s">
        <v>406</v>
      </c>
      <c r="U48" s="9" t="s">
        <v>179</v>
      </c>
      <c r="V48" s="9" t="s">
        <v>363</v>
      </c>
      <c r="W48" s="9" t="s">
        <v>449</v>
      </c>
      <c r="X48" s="9" t="s">
        <v>372</v>
      </c>
      <c r="Y48" s="9" t="s">
        <v>374</v>
      </c>
      <c r="Z48" s="9" t="s">
        <v>376</v>
      </c>
      <c r="AA48" s="9"/>
      <c r="AB48" s="9"/>
      <c r="AC48" s="9"/>
      <c r="AD48" s="9" t="s">
        <v>539</v>
      </c>
      <c r="AE48" s="9"/>
      <c r="AF48" s="9"/>
      <c r="AG48" s="9"/>
      <c r="AH48" s="9"/>
      <c r="AI48" s="9"/>
      <c r="AJ48" s="9"/>
      <c r="AK48" s="9"/>
      <c r="AL48" s="9"/>
      <c r="AM48" s="12" t="s">
        <v>538</v>
      </c>
    </row>
    <row r="49" spans="1:39" ht="100" customHeight="1">
      <c r="A49" s="9">
        <v>47</v>
      </c>
      <c r="B49" s="3" t="s">
        <v>180</v>
      </c>
      <c r="C49" s="3" t="s">
        <v>67</v>
      </c>
      <c r="D49" s="3">
        <f t="shared" si="4"/>
        <v>2021</v>
      </c>
      <c r="E49" s="6">
        <v>44258</v>
      </c>
      <c r="F49" s="6">
        <v>45807</v>
      </c>
      <c r="G49" s="3">
        <f>F49-E49</f>
        <v>1549</v>
      </c>
      <c r="H49" s="3" t="s">
        <v>561</v>
      </c>
      <c r="I49" s="3" t="s">
        <v>341</v>
      </c>
      <c r="J49" s="3"/>
      <c r="K49" s="3"/>
      <c r="L49" s="9" t="s">
        <v>181</v>
      </c>
      <c r="M49" s="9" t="s">
        <v>551</v>
      </c>
      <c r="N49" s="9" t="s">
        <v>388</v>
      </c>
      <c r="O49" s="9" t="s">
        <v>387</v>
      </c>
      <c r="P49" s="9" t="s">
        <v>355</v>
      </c>
      <c r="Q49" s="9">
        <v>1</v>
      </c>
      <c r="R49" s="9"/>
      <c r="S49" s="9"/>
      <c r="T49" s="9" t="s">
        <v>406</v>
      </c>
      <c r="U49" s="9" t="s">
        <v>182</v>
      </c>
      <c r="V49" s="9" t="s">
        <v>560</v>
      </c>
      <c r="W49" s="9" t="s">
        <v>449</v>
      </c>
      <c r="X49" s="9" t="s">
        <v>372</v>
      </c>
      <c r="Y49" s="9"/>
      <c r="Z49" s="9"/>
      <c r="AA49" s="9"/>
      <c r="AB49" s="9"/>
      <c r="AC49" s="9"/>
      <c r="AD49" s="9" t="s">
        <v>170</v>
      </c>
      <c r="AE49" s="9" t="s">
        <v>403</v>
      </c>
      <c r="AF49" s="9"/>
      <c r="AG49" s="9"/>
      <c r="AH49" s="9"/>
      <c r="AI49" s="9"/>
      <c r="AJ49" s="9"/>
      <c r="AK49" s="9"/>
      <c r="AL49" s="9"/>
      <c r="AM49" s="13" t="s">
        <v>183</v>
      </c>
    </row>
    <row r="50" spans="1:39" ht="100" customHeight="1">
      <c r="A50" s="9">
        <v>48</v>
      </c>
      <c r="B50" s="3" t="s">
        <v>184</v>
      </c>
      <c r="C50" s="3" t="s">
        <v>67</v>
      </c>
      <c r="D50" s="3">
        <f t="shared" si="4"/>
        <v>2021</v>
      </c>
      <c r="E50" s="6">
        <v>44258</v>
      </c>
      <c r="F50" s="6">
        <v>45807</v>
      </c>
      <c r="G50" s="3">
        <f>F50-E50</f>
        <v>1549</v>
      </c>
      <c r="H50" s="3" t="s">
        <v>561</v>
      </c>
      <c r="I50" s="3" t="s">
        <v>341</v>
      </c>
      <c r="J50" s="3"/>
      <c r="K50" s="3"/>
      <c r="L50" s="9" t="s">
        <v>181</v>
      </c>
      <c r="M50" s="9" t="s">
        <v>551</v>
      </c>
      <c r="N50" s="9" t="s">
        <v>388</v>
      </c>
      <c r="O50" s="9" t="s">
        <v>387</v>
      </c>
      <c r="P50" s="9" t="s">
        <v>355</v>
      </c>
      <c r="Q50" s="9">
        <v>1</v>
      </c>
      <c r="R50" s="9"/>
      <c r="S50" s="9"/>
      <c r="T50" s="9" t="s">
        <v>406</v>
      </c>
      <c r="U50" s="9" t="s">
        <v>182</v>
      </c>
      <c r="V50" s="9" t="s">
        <v>560</v>
      </c>
      <c r="W50" s="9" t="s">
        <v>449</v>
      </c>
      <c r="X50" s="9" t="s">
        <v>372</v>
      </c>
      <c r="Y50" s="9"/>
      <c r="Z50" s="9"/>
      <c r="AA50" s="9"/>
      <c r="AB50" s="9"/>
      <c r="AC50" s="9"/>
      <c r="AD50" s="9" t="s">
        <v>170</v>
      </c>
      <c r="AE50" s="9" t="s">
        <v>403</v>
      </c>
      <c r="AF50" s="9"/>
      <c r="AG50" s="9"/>
      <c r="AH50" s="9"/>
      <c r="AI50" s="9"/>
      <c r="AJ50" s="9"/>
      <c r="AK50" s="9"/>
      <c r="AL50" s="9"/>
      <c r="AM50" s="13" t="s">
        <v>185</v>
      </c>
    </row>
    <row r="51" spans="1:39" ht="100" customHeight="1">
      <c r="A51" s="9">
        <v>49</v>
      </c>
      <c r="B51" s="3" t="s">
        <v>496</v>
      </c>
      <c r="C51" s="3" t="s">
        <v>381</v>
      </c>
      <c r="D51" s="3">
        <f t="shared" si="4"/>
        <v>2021</v>
      </c>
      <c r="E51" s="6">
        <v>44279</v>
      </c>
      <c r="F51" s="6">
        <v>44902</v>
      </c>
      <c r="G51" s="3">
        <f>F51-E51</f>
        <v>623</v>
      </c>
      <c r="H51" s="3" t="s">
        <v>142</v>
      </c>
      <c r="I51" s="3"/>
      <c r="J51" s="3"/>
      <c r="K51" s="3"/>
      <c r="L51" s="9" t="s">
        <v>498</v>
      </c>
      <c r="M51" s="9" t="s">
        <v>400</v>
      </c>
      <c r="N51" s="9" t="s">
        <v>351</v>
      </c>
      <c r="O51" s="9" t="s">
        <v>384</v>
      </c>
      <c r="P51" s="9" t="s">
        <v>355</v>
      </c>
      <c r="Q51" s="9">
        <v>214</v>
      </c>
      <c r="R51" s="9" t="s">
        <v>440</v>
      </c>
      <c r="S51" s="9" t="s">
        <v>358</v>
      </c>
      <c r="T51" s="9" t="s">
        <v>406</v>
      </c>
      <c r="U51" s="9" t="s">
        <v>186</v>
      </c>
      <c r="V51" s="9" t="s">
        <v>461</v>
      </c>
      <c r="W51" s="9" t="s">
        <v>371</v>
      </c>
      <c r="X51" s="9" t="s">
        <v>372</v>
      </c>
      <c r="Y51" s="9"/>
      <c r="Z51" s="9"/>
      <c r="AA51" s="9"/>
      <c r="AB51" s="9" t="s">
        <v>367</v>
      </c>
      <c r="AC51" s="9"/>
      <c r="AD51" s="9" t="s">
        <v>122</v>
      </c>
      <c r="AE51" s="9" t="s">
        <v>123</v>
      </c>
      <c r="AF51" s="9"/>
      <c r="AG51" s="9"/>
      <c r="AH51" s="9" t="s">
        <v>366</v>
      </c>
      <c r="AI51" s="9" t="s">
        <v>413</v>
      </c>
      <c r="AJ51" s="9" t="s">
        <v>421</v>
      </c>
      <c r="AK51" s="9"/>
      <c r="AL51" s="9"/>
      <c r="AM51" s="13" t="s">
        <v>187</v>
      </c>
    </row>
    <row r="52" spans="1:39" ht="100" customHeight="1">
      <c r="A52" s="9">
        <v>50</v>
      </c>
      <c r="B52" s="3" t="s">
        <v>188</v>
      </c>
      <c r="C52" s="3" t="s">
        <v>557</v>
      </c>
      <c r="D52" s="3">
        <f t="shared" si="4"/>
        <v>2021</v>
      </c>
      <c r="E52" s="6">
        <v>44299</v>
      </c>
      <c r="F52" s="6">
        <v>45450</v>
      </c>
      <c r="G52" s="3">
        <f>F52-E52</f>
        <v>1151</v>
      </c>
      <c r="H52" s="3" t="s">
        <v>189</v>
      </c>
      <c r="I52" s="3" t="s">
        <v>340</v>
      </c>
      <c r="J52" s="3" t="s">
        <v>541</v>
      </c>
      <c r="K52" s="3" t="s">
        <v>338</v>
      </c>
      <c r="L52" s="9" t="s">
        <v>540</v>
      </c>
      <c r="M52" s="9" t="s">
        <v>419</v>
      </c>
      <c r="N52" s="9" t="s">
        <v>351</v>
      </c>
      <c r="O52" s="9" t="s">
        <v>384</v>
      </c>
      <c r="P52" s="9" t="s">
        <v>398</v>
      </c>
      <c r="Q52" s="9">
        <v>6</v>
      </c>
      <c r="R52" s="9"/>
      <c r="S52" s="9" t="s">
        <v>358</v>
      </c>
      <c r="T52" s="9" t="s">
        <v>406</v>
      </c>
      <c r="U52" s="9" t="s">
        <v>190</v>
      </c>
      <c r="V52" s="9" t="s">
        <v>465</v>
      </c>
      <c r="W52" s="9" t="s">
        <v>449</v>
      </c>
      <c r="X52" s="9" t="s">
        <v>372</v>
      </c>
      <c r="Y52" s="9"/>
      <c r="Z52" s="9"/>
      <c r="AA52" s="9"/>
      <c r="AB52" s="9"/>
      <c r="AC52" s="9"/>
      <c r="AD52" s="9" t="s">
        <v>122</v>
      </c>
      <c r="AE52" s="9"/>
      <c r="AF52" s="9"/>
      <c r="AG52" s="9"/>
      <c r="AH52" s="9" t="s">
        <v>542</v>
      </c>
      <c r="AI52" s="9" t="s">
        <v>413</v>
      </c>
      <c r="AJ52" s="9" t="s">
        <v>423</v>
      </c>
      <c r="AK52" s="9"/>
      <c r="AL52" s="9"/>
      <c r="AM52" s="13" t="s">
        <v>191</v>
      </c>
    </row>
    <row r="53" spans="1:39" ht="100" customHeight="1">
      <c r="A53" s="9">
        <v>51</v>
      </c>
      <c r="B53" s="3" t="s">
        <v>192</v>
      </c>
      <c r="C53" s="3" t="s">
        <v>21</v>
      </c>
      <c r="D53" s="3">
        <f t="shared" si="4"/>
        <v>2021</v>
      </c>
      <c r="E53" s="6">
        <v>44317</v>
      </c>
      <c r="F53" s="6">
        <v>44551</v>
      </c>
      <c r="G53" s="3">
        <f>F53-E53</f>
        <v>234</v>
      </c>
      <c r="H53" s="3" t="s">
        <v>109</v>
      </c>
      <c r="I53" s="3" t="s">
        <v>341</v>
      </c>
      <c r="J53" s="3"/>
      <c r="K53" s="3" t="s">
        <v>338</v>
      </c>
      <c r="L53" s="9" t="s">
        <v>193</v>
      </c>
      <c r="M53" s="9" t="s">
        <v>393</v>
      </c>
      <c r="N53" s="9" t="s">
        <v>383</v>
      </c>
      <c r="O53" s="9" t="s">
        <v>384</v>
      </c>
      <c r="P53" s="9" t="s">
        <v>355</v>
      </c>
      <c r="Q53" s="9">
        <v>3</v>
      </c>
      <c r="R53" s="9"/>
      <c r="S53" s="9" t="s">
        <v>358</v>
      </c>
      <c r="T53" s="9" t="s">
        <v>406</v>
      </c>
      <c r="U53" s="9" t="s">
        <v>194</v>
      </c>
      <c r="V53" s="9" t="s">
        <v>394</v>
      </c>
      <c r="W53" s="9" t="s">
        <v>466</v>
      </c>
      <c r="X53" s="9"/>
      <c r="Y53" s="9"/>
      <c r="Z53" s="9"/>
      <c r="AA53" s="9"/>
      <c r="AB53" s="9"/>
      <c r="AC53" s="9"/>
      <c r="AD53" s="9" t="s">
        <v>122</v>
      </c>
      <c r="AE53" s="9"/>
      <c r="AF53" s="9" t="s">
        <v>467</v>
      </c>
      <c r="AG53" s="9"/>
      <c r="AH53" s="9"/>
      <c r="AI53" s="9"/>
      <c r="AJ53" s="9"/>
      <c r="AK53" s="9"/>
      <c r="AL53" s="9"/>
      <c r="AM53" s="13" t="s">
        <v>195</v>
      </c>
    </row>
    <row r="54" spans="1:39" ht="100" customHeight="1">
      <c r="A54" s="9">
        <v>52</v>
      </c>
      <c r="B54" s="3" t="s">
        <v>196</v>
      </c>
      <c r="C54" s="3" t="s">
        <v>67</v>
      </c>
      <c r="D54" s="3">
        <f t="shared" si="4"/>
        <v>2021</v>
      </c>
      <c r="E54" s="6">
        <v>44337</v>
      </c>
      <c r="F54" s="6"/>
      <c r="G54" s="3"/>
      <c r="H54" s="3" t="s">
        <v>197</v>
      </c>
      <c r="I54" s="3" t="s">
        <v>340</v>
      </c>
      <c r="J54" s="3"/>
      <c r="K54" s="3" t="s">
        <v>338</v>
      </c>
      <c r="L54" s="9" t="s">
        <v>198</v>
      </c>
      <c r="M54" s="9" t="s">
        <v>400</v>
      </c>
      <c r="N54" s="9" t="s">
        <v>388</v>
      </c>
      <c r="O54" s="9" t="s">
        <v>387</v>
      </c>
      <c r="P54" s="9"/>
      <c r="Q54" s="9">
        <v>1</v>
      </c>
      <c r="R54" s="9" t="s">
        <v>414</v>
      </c>
      <c r="S54" s="9"/>
      <c r="T54" s="9" t="s">
        <v>406</v>
      </c>
      <c r="U54" s="9" t="s">
        <v>199</v>
      </c>
      <c r="V54" s="9" t="s">
        <v>363</v>
      </c>
      <c r="W54" s="9" t="s">
        <v>371</v>
      </c>
      <c r="X54" s="9" t="s">
        <v>372</v>
      </c>
      <c r="Y54" s="9"/>
      <c r="Z54" s="9"/>
      <c r="AA54" s="9"/>
      <c r="AB54" s="9" t="s">
        <v>367</v>
      </c>
      <c r="AC54" s="14"/>
      <c r="AD54" s="9"/>
      <c r="AE54" s="9"/>
      <c r="AF54" s="9"/>
      <c r="AG54" s="9"/>
      <c r="AH54" s="9"/>
      <c r="AI54" s="9"/>
      <c r="AJ54" s="9"/>
      <c r="AK54" s="9"/>
      <c r="AL54" s="9"/>
      <c r="AM54" s="13" t="s">
        <v>200</v>
      </c>
    </row>
    <row r="55" spans="1:39" ht="100" customHeight="1">
      <c r="A55" s="9">
        <v>53</v>
      </c>
      <c r="B55" s="3" t="s">
        <v>201</v>
      </c>
      <c r="C55" s="3" t="s">
        <v>381</v>
      </c>
      <c r="D55" s="3">
        <f t="shared" si="4"/>
        <v>2021</v>
      </c>
      <c r="E55" s="6">
        <v>44362</v>
      </c>
      <c r="F55" s="6">
        <v>45958</v>
      </c>
      <c r="G55" s="3">
        <f t="shared" ref="G55:G64" si="6">F55-E55</f>
        <v>1596</v>
      </c>
      <c r="H55" s="3" t="s">
        <v>96</v>
      </c>
      <c r="I55" s="3" t="s">
        <v>341</v>
      </c>
      <c r="J55" s="3" t="s">
        <v>446</v>
      </c>
      <c r="K55" s="3" t="s">
        <v>338</v>
      </c>
      <c r="L55" s="9" t="s">
        <v>181</v>
      </c>
      <c r="M55" s="9" t="s">
        <v>551</v>
      </c>
      <c r="N55" s="9" t="s">
        <v>383</v>
      </c>
      <c r="O55" s="9" t="s">
        <v>387</v>
      </c>
      <c r="P55" s="9" t="s">
        <v>398</v>
      </c>
      <c r="Q55" s="9">
        <v>6</v>
      </c>
      <c r="R55" s="9"/>
      <c r="S55" s="9" t="s">
        <v>358</v>
      </c>
      <c r="T55" s="9" t="s">
        <v>406</v>
      </c>
      <c r="U55" s="9" t="s">
        <v>202</v>
      </c>
      <c r="V55" s="9" t="s">
        <v>363</v>
      </c>
      <c r="W55" s="9" t="s">
        <v>449</v>
      </c>
      <c r="X55" s="9" t="s">
        <v>372</v>
      </c>
      <c r="Y55" s="9"/>
      <c r="Z55" s="9"/>
      <c r="AA55" s="9"/>
      <c r="AB55" s="9"/>
      <c r="AC55" s="9"/>
      <c r="AD55" s="9" t="s">
        <v>170</v>
      </c>
      <c r="AE55" s="9" t="s">
        <v>451</v>
      </c>
      <c r="AF55" s="9"/>
      <c r="AG55" s="9"/>
      <c r="AH55" s="9"/>
      <c r="AI55" s="9"/>
      <c r="AJ55" s="9"/>
      <c r="AK55" s="9"/>
      <c r="AL55" s="9"/>
      <c r="AM55" s="13" t="s">
        <v>203</v>
      </c>
    </row>
    <row r="56" spans="1:39" ht="100" customHeight="1">
      <c r="A56" s="9">
        <v>54</v>
      </c>
      <c r="B56" s="3" t="s">
        <v>204</v>
      </c>
      <c r="C56" s="3" t="s">
        <v>21</v>
      </c>
      <c r="D56" s="3">
        <f t="shared" si="4"/>
        <v>2021</v>
      </c>
      <c r="E56" s="6">
        <v>44377</v>
      </c>
      <c r="F56" s="6">
        <v>44579</v>
      </c>
      <c r="G56" s="3">
        <f t="shared" si="6"/>
        <v>202</v>
      </c>
      <c r="H56" s="3" t="s">
        <v>149</v>
      </c>
      <c r="I56" s="3" t="s">
        <v>341</v>
      </c>
      <c r="J56" s="3" t="s">
        <v>205</v>
      </c>
      <c r="K56" s="3" t="s">
        <v>391</v>
      </c>
      <c r="L56" s="9" t="s">
        <v>206</v>
      </c>
      <c r="M56" s="9" t="s">
        <v>155</v>
      </c>
      <c r="N56" s="9" t="s">
        <v>383</v>
      </c>
      <c r="O56" s="9" t="s">
        <v>384</v>
      </c>
      <c r="P56" s="9" t="s">
        <v>398</v>
      </c>
      <c r="Q56" s="9">
        <v>10</v>
      </c>
      <c r="R56" s="9"/>
      <c r="S56" s="9" t="s">
        <v>358</v>
      </c>
      <c r="T56" s="9" t="s">
        <v>385</v>
      </c>
      <c r="U56" s="9" t="s">
        <v>207</v>
      </c>
      <c r="V56" s="9" t="s">
        <v>394</v>
      </c>
      <c r="W56" s="9" t="s">
        <v>371</v>
      </c>
      <c r="X56" s="9" t="s">
        <v>372</v>
      </c>
      <c r="Y56" s="9" t="s">
        <v>374</v>
      </c>
      <c r="Z56" s="9"/>
      <c r="AA56" s="9"/>
      <c r="AB56" s="9"/>
      <c r="AC56" s="9"/>
      <c r="AD56" s="9"/>
      <c r="AE56" s="9"/>
      <c r="AF56" s="9" t="s">
        <v>443</v>
      </c>
      <c r="AG56" s="9"/>
      <c r="AH56" s="9"/>
      <c r="AI56" s="9"/>
      <c r="AJ56" s="9"/>
      <c r="AK56" s="9"/>
      <c r="AL56" s="9"/>
      <c r="AM56" s="13" t="s">
        <v>543</v>
      </c>
    </row>
    <row r="57" spans="1:39" ht="100" customHeight="1">
      <c r="A57" s="9">
        <v>55</v>
      </c>
      <c r="B57" s="3" t="s">
        <v>208</v>
      </c>
      <c r="C57" s="3" t="s">
        <v>21</v>
      </c>
      <c r="D57" s="3">
        <f t="shared" si="4"/>
        <v>2021</v>
      </c>
      <c r="E57" s="6">
        <v>44377</v>
      </c>
      <c r="F57" s="6">
        <v>44579</v>
      </c>
      <c r="G57" s="3">
        <f t="shared" si="6"/>
        <v>202</v>
      </c>
      <c r="H57" s="3" t="s">
        <v>149</v>
      </c>
      <c r="I57" s="3" t="s">
        <v>341</v>
      </c>
      <c r="J57" s="3" t="s">
        <v>209</v>
      </c>
      <c r="K57" s="3" t="s">
        <v>391</v>
      </c>
      <c r="L57" s="9" t="s">
        <v>206</v>
      </c>
      <c r="M57" s="9" t="s">
        <v>155</v>
      </c>
      <c r="N57" s="9" t="s">
        <v>383</v>
      </c>
      <c r="O57" s="9" t="s">
        <v>384</v>
      </c>
      <c r="P57" s="9" t="s">
        <v>398</v>
      </c>
      <c r="Q57" s="9">
        <v>3</v>
      </c>
      <c r="R57" s="9"/>
      <c r="S57" s="9" t="s">
        <v>358</v>
      </c>
      <c r="T57" s="9" t="s">
        <v>385</v>
      </c>
      <c r="U57" s="9" t="s">
        <v>210</v>
      </c>
      <c r="V57" s="9" t="s">
        <v>394</v>
      </c>
      <c r="W57" s="9" t="s">
        <v>371</v>
      </c>
      <c r="X57" s="9" t="s">
        <v>372</v>
      </c>
      <c r="Y57" s="9" t="s">
        <v>374</v>
      </c>
      <c r="Z57" s="9"/>
      <c r="AA57" s="9"/>
      <c r="AB57" s="9"/>
      <c r="AC57" s="9"/>
      <c r="AD57" s="9" t="s">
        <v>471</v>
      </c>
      <c r="AE57" s="9"/>
      <c r="AF57" s="9" t="s">
        <v>443</v>
      </c>
      <c r="AG57" s="9"/>
      <c r="AH57" s="9"/>
      <c r="AI57" s="9"/>
      <c r="AJ57" s="9"/>
      <c r="AK57" s="9"/>
      <c r="AL57" s="9"/>
      <c r="AM57" s="12" t="s">
        <v>544</v>
      </c>
    </row>
    <row r="58" spans="1:39" ht="100" customHeight="1">
      <c r="A58" s="9">
        <v>56</v>
      </c>
      <c r="B58" s="3" t="s">
        <v>211</v>
      </c>
      <c r="C58" s="3" t="s">
        <v>21</v>
      </c>
      <c r="D58" s="3">
        <f t="shared" si="4"/>
        <v>2021</v>
      </c>
      <c r="E58" s="6">
        <v>44392</v>
      </c>
      <c r="F58" s="6">
        <v>44579</v>
      </c>
      <c r="G58" s="3">
        <f t="shared" si="6"/>
        <v>187</v>
      </c>
      <c r="H58" s="3" t="s">
        <v>149</v>
      </c>
      <c r="I58" s="3" t="s">
        <v>341</v>
      </c>
      <c r="J58" s="3" t="s">
        <v>212</v>
      </c>
      <c r="K58" s="3" t="s">
        <v>391</v>
      </c>
      <c r="L58" s="9" t="s">
        <v>206</v>
      </c>
      <c r="M58" s="9" t="s">
        <v>155</v>
      </c>
      <c r="N58" s="9" t="s">
        <v>383</v>
      </c>
      <c r="O58" s="9" t="s">
        <v>384</v>
      </c>
      <c r="P58" s="9" t="s">
        <v>398</v>
      </c>
      <c r="Q58" s="9">
        <v>4</v>
      </c>
      <c r="R58" s="9"/>
      <c r="S58" s="9" t="s">
        <v>358</v>
      </c>
      <c r="T58" s="9" t="s">
        <v>385</v>
      </c>
      <c r="U58" s="9" t="s">
        <v>213</v>
      </c>
      <c r="V58" s="9" t="s">
        <v>394</v>
      </c>
      <c r="W58" s="9" t="s">
        <v>371</v>
      </c>
      <c r="X58" s="9" t="s">
        <v>372</v>
      </c>
      <c r="Y58" s="9" t="s">
        <v>374</v>
      </c>
      <c r="Z58" s="9"/>
      <c r="AA58" s="9"/>
      <c r="AB58" s="9"/>
      <c r="AC58" s="9"/>
      <c r="AD58" s="9" t="s">
        <v>471</v>
      </c>
      <c r="AE58" s="9"/>
      <c r="AF58" s="9" t="s">
        <v>443</v>
      </c>
      <c r="AG58" s="9"/>
      <c r="AH58" s="9"/>
      <c r="AI58" s="9"/>
      <c r="AJ58" s="9"/>
      <c r="AK58" s="9"/>
      <c r="AL58" s="9"/>
      <c r="AM58" s="13" t="s">
        <v>214</v>
      </c>
    </row>
    <row r="59" spans="1:39" ht="100" customHeight="1">
      <c r="A59" s="9">
        <v>57</v>
      </c>
      <c r="B59" s="3" t="s">
        <v>215</v>
      </c>
      <c r="C59" s="3" t="s">
        <v>16</v>
      </c>
      <c r="D59" s="3">
        <f t="shared" si="4"/>
        <v>2021</v>
      </c>
      <c r="E59" s="6">
        <v>44410</v>
      </c>
      <c r="F59" s="6">
        <v>45630</v>
      </c>
      <c r="G59" s="3">
        <f t="shared" si="6"/>
        <v>1220</v>
      </c>
      <c r="H59" s="3" t="s">
        <v>216</v>
      </c>
      <c r="I59" s="3" t="s">
        <v>340</v>
      </c>
      <c r="J59" s="3"/>
      <c r="K59" s="3" t="s">
        <v>338</v>
      </c>
      <c r="L59" s="9" t="s">
        <v>217</v>
      </c>
      <c r="M59" s="9" t="s">
        <v>400</v>
      </c>
      <c r="N59" s="9" t="s">
        <v>383</v>
      </c>
      <c r="O59" s="9" t="s">
        <v>384</v>
      </c>
      <c r="P59" s="9" t="s">
        <v>398</v>
      </c>
      <c r="Q59" s="9">
        <v>8</v>
      </c>
      <c r="R59" s="9"/>
      <c r="S59" s="9" t="s">
        <v>358</v>
      </c>
      <c r="T59" s="9" t="s">
        <v>406</v>
      </c>
      <c r="U59" s="9" t="s">
        <v>218</v>
      </c>
      <c r="V59" s="9" t="s">
        <v>363</v>
      </c>
      <c r="W59" s="9" t="s">
        <v>371</v>
      </c>
      <c r="X59" s="9" t="s">
        <v>372</v>
      </c>
      <c r="Y59" s="9" t="s">
        <v>374</v>
      </c>
      <c r="Z59" s="9" t="s">
        <v>376</v>
      </c>
      <c r="AA59" s="9"/>
      <c r="AB59" s="9"/>
      <c r="AC59" s="9"/>
      <c r="AD59" s="9" t="s">
        <v>122</v>
      </c>
      <c r="AE59" s="9"/>
      <c r="AF59" s="9"/>
      <c r="AG59" s="9"/>
      <c r="AH59" s="9" t="s">
        <v>366</v>
      </c>
      <c r="AI59" s="9" t="s">
        <v>413</v>
      </c>
      <c r="AJ59" s="9" t="s">
        <v>369</v>
      </c>
      <c r="AK59" s="9"/>
      <c r="AL59" s="9"/>
      <c r="AM59" s="13" t="s">
        <v>219</v>
      </c>
    </row>
    <row r="60" spans="1:39" ht="100" customHeight="1">
      <c r="A60" s="9">
        <v>58</v>
      </c>
      <c r="B60" s="3" t="s">
        <v>220</v>
      </c>
      <c r="C60" s="3" t="s">
        <v>21</v>
      </c>
      <c r="D60" s="3">
        <f t="shared" si="4"/>
        <v>2021</v>
      </c>
      <c r="E60" s="6">
        <v>44448</v>
      </c>
      <c r="F60" s="6">
        <v>44579</v>
      </c>
      <c r="G60" s="3">
        <f t="shared" si="6"/>
        <v>131</v>
      </c>
      <c r="H60" s="3" t="s">
        <v>149</v>
      </c>
      <c r="I60" s="3" t="s">
        <v>341</v>
      </c>
      <c r="J60" s="3" t="s">
        <v>221</v>
      </c>
      <c r="K60" s="3" t="s">
        <v>391</v>
      </c>
      <c r="L60" s="9" t="s">
        <v>206</v>
      </c>
      <c r="M60" s="9" t="s">
        <v>155</v>
      </c>
      <c r="N60" s="9" t="s">
        <v>351</v>
      </c>
      <c r="O60" s="9" t="s">
        <v>384</v>
      </c>
      <c r="P60" s="9" t="s">
        <v>398</v>
      </c>
      <c r="Q60" s="9">
        <v>3</v>
      </c>
      <c r="R60" s="9"/>
      <c r="S60" s="9" t="s">
        <v>358</v>
      </c>
      <c r="T60" s="9" t="s">
        <v>385</v>
      </c>
      <c r="U60" s="9" t="s">
        <v>222</v>
      </c>
      <c r="V60" s="9" t="s">
        <v>461</v>
      </c>
      <c r="W60" s="9" t="s">
        <v>466</v>
      </c>
      <c r="X60" s="9"/>
      <c r="Y60" s="9"/>
      <c r="Z60" s="9"/>
      <c r="AA60" s="9"/>
      <c r="AB60" s="9"/>
      <c r="AC60" s="9"/>
      <c r="AD60" s="9" t="s">
        <v>122</v>
      </c>
      <c r="AE60" s="9"/>
      <c r="AF60" s="9" t="s">
        <v>443</v>
      </c>
      <c r="AG60" s="9"/>
      <c r="AH60" s="9"/>
      <c r="AI60" s="9"/>
      <c r="AJ60" s="9"/>
      <c r="AK60" s="9"/>
      <c r="AL60" s="9"/>
      <c r="AM60" s="13" t="s">
        <v>223</v>
      </c>
    </row>
    <row r="61" spans="1:39" ht="100" customHeight="1">
      <c r="A61" s="9">
        <v>59</v>
      </c>
      <c r="B61" s="3" t="s">
        <v>224</v>
      </c>
      <c r="C61" s="3" t="s">
        <v>21</v>
      </c>
      <c r="D61" s="3">
        <f t="shared" si="4"/>
        <v>2021</v>
      </c>
      <c r="E61" s="6">
        <v>44448</v>
      </c>
      <c r="F61" s="6">
        <v>44579</v>
      </c>
      <c r="G61" s="3">
        <f t="shared" si="6"/>
        <v>131</v>
      </c>
      <c r="H61" s="3" t="s">
        <v>149</v>
      </c>
      <c r="I61" s="3" t="s">
        <v>341</v>
      </c>
      <c r="J61" s="3" t="s">
        <v>225</v>
      </c>
      <c r="K61" s="3" t="s">
        <v>391</v>
      </c>
      <c r="L61" s="9" t="s">
        <v>206</v>
      </c>
      <c r="M61" s="9" t="s">
        <v>155</v>
      </c>
      <c r="N61" s="9" t="s">
        <v>351</v>
      </c>
      <c r="O61" s="9" t="s">
        <v>384</v>
      </c>
      <c r="P61" s="9"/>
      <c r="Q61" s="9">
        <v>2</v>
      </c>
      <c r="R61" s="9"/>
      <c r="S61" s="9" t="s">
        <v>358</v>
      </c>
      <c r="T61" s="9" t="s">
        <v>385</v>
      </c>
      <c r="U61" s="9" t="s">
        <v>226</v>
      </c>
      <c r="V61" s="9" t="s">
        <v>545</v>
      </c>
      <c r="W61" s="9" t="s">
        <v>371</v>
      </c>
      <c r="X61" s="9" t="s">
        <v>372</v>
      </c>
      <c r="Y61" s="9"/>
      <c r="Z61" s="9"/>
      <c r="AA61" s="9"/>
      <c r="AB61" s="9"/>
      <c r="AC61" s="9"/>
      <c r="AD61" s="9" t="s">
        <v>122</v>
      </c>
      <c r="AE61" s="9"/>
      <c r="AF61" s="9" t="s">
        <v>443</v>
      </c>
      <c r="AG61" s="9"/>
      <c r="AH61" s="9"/>
      <c r="AI61" s="9"/>
      <c r="AJ61" s="9"/>
      <c r="AK61" s="9"/>
      <c r="AL61" s="9"/>
      <c r="AM61" s="13" t="s">
        <v>227</v>
      </c>
    </row>
    <row r="62" spans="1:39" ht="100" customHeight="1">
      <c r="A62" s="9">
        <v>60</v>
      </c>
      <c r="B62" s="3" t="s">
        <v>228</v>
      </c>
      <c r="C62" s="3" t="s">
        <v>21</v>
      </c>
      <c r="D62" s="3">
        <f t="shared" si="4"/>
        <v>2021</v>
      </c>
      <c r="E62" s="6">
        <v>44448</v>
      </c>
      <c r="F62" s="6">
        <v>44579</v>
      </c>
      <c r="G62" s="3">
        <f t="shared" si="6"/>
        <v>131</v>
      </c>
      <c r="H62" s="3" t="s">
        <v>149</v>
      </c>
      <c r="I62" s="3" t="s">
        <v>341</v>
      </c>
      <c r="J62" s="3" t="s">
        <v>229</v>
      </c>
      <c r="K62" s="3" t="s">
        <v>391</v>
      </c>
      <c r="L62" s="9" t="s">
        <v>206</v>
      </c>
      <c r="M62" s="9" t="s">
        <v>155</v>
      </c>
      <c r="N62" s="9" t="s">
        <v>351</v>
      </c>
      <c r="O62" s="9" t="s">
        <v>384</v>
      </c>
      <c r="P62" s="9"/>
      <c r="Q62" s="9">
        <v>3</v>
      </c>
      <c r="R62" s="9"/>
      <c r="S62" s="9" t="s">
        <v>358</v>
      </c>
      <c r="T62" s="9" t="s">
        <v>385</v>
      </c>
      <c r="U62" s="9" t="s">
        <v>230</v>
      </c>
      <c r="V62" s="9" t="s">
        <v>545</v>
      </c>
      <c r="W62" s="9" t="s">
        <v>371</v>
      </c>
      <c r="X62" s="9" t="s">
        <v>372</v>
      </c>
      <c r="Y62" s="9"/>
      <c r="Z62" s="9"/>
      <c r="AA62" s="9"/>
      <c r="AB62" s="9"/>
      <c r="AC62" s="9"/>
      <c r="AD62" s="9" t="s">
        <v>122</v>
      </c>
      <c r="AE62" s="9"/>
      <c r="AF62" s="9" t="s">
        <v>443</v>
      </c>
      <c r="AG62" s="9"/>
      <c r="AH62" s="9"/>
      <c r="AI62" s="9"/>
      <c r="AJ62" s="9"/>
      <c r="AK62" s="9"/>
      <c r="AL62" s="9"/>
      <c r="AM62" s="13" t="s">
        <v>231</v>
      </c>
    </row>
    <row r="63" spans="1:39" ht="100" customHeight="1">
      <c r="A63" s="9">
        <v>61</v>
      </c>
      <c r="B63" s="3" t="s">
        <v>232</v>
      </c>
      <c r="C63" s="3" t="s">
        <v>21</v>
      </c>
      <c r="D63" s="3">
        <f t="shared" si="4"/>
        <v>2021</v>
      </c>
      <c r="E63" s="6">
        <v>44448</v>
      </c>
      <c r="F63" s="6">
        <v>44579</v>
      </c>
      <c r="G63" s="3">
        <f t="shared" si="6"/>
        <v>131</v>
      </c>
      <c r="H63" s="3" t="s">
        <v>149</v>
      </c>
      <c r="I63" s="3" t="s">
        <v>341</v>
      </c>
      <c r="J63" s="3" t="s">
        <v>233</v>
      </c>
      <c r="K63" s="3" t="s">
        <v>391</v>
      </c>
      <c r="L63" s="9" t="s">
        <v>206</v>
      </c>
      <c r="M63" s="9" t="s">
        <v>155</v>
      </c>
      <c r="N63" s="9" t="s">
        <v>351</v>
      </c>
      <c r="O63" s="9" t="s">
        <v>384</v>
      </c>
      <c r="P63" s="9"/>
      <c r="Q63" s="9">
        <v>2</v>
      </c>
      <c r="R63" s="9"/>
      <c r="S63" s="9" t="s">
        <v>358</v>
      </c>
      <c r="T63" s="9" t="s">
        <v>385</v>
      </c>
      <c r="U63" s="9" t="s">
        <v>234</v>
      </c>
      <c r="V63" s="9" t="s">
        <v>545</v>
      </c>
      <c r="W63" s="9" t="s">
        <v>371</v>
      </c>
      <c r="X63" s="9" t="s">
        <v>372</v>
      </c>
      <c r="Y63" s="9"/>
      <c r="Z63" s="9"/>
      <c r="AA63" s="9"/>
      <c r="AB63" s="9"/>
      <c r="AC63" s="9"/>
      <c r="AD63" s="9" t="s">
        <v>122</v>
      </c>
      <c r="AE63" s="9"/>
      <c r="AF63" s="9" t="s">
        <v>443</v>
      </c>
      <c r="AG63" s="9"/>
      <c r="AH63" s="9"/>
      <c r="AI63" s="9"/>
      <c r="AJ63" s="9"/>
      <c r="AK63" s="9"/>
      <c r="AL63" s="9"/>
      <c r="AM63" s="13" t="s">
        <v>235</v>
      </c>
    </row>
    <row r="64" spans="1:39" ht="100" customHeight="1">
      <c r="A64" s="9">
        <v>62</v>
      </c>
      <c r="B64" s="3" t="s">
        <v>236</v>
      </c>
      <c r="C64" s="3" t="s">
        <v>21</v>
      </c>
      <c r="D64" s="3">
        <f t="shared" si="4"/>
        <v>2021</v>
      </c>
      <c r="E64" s="6">
        <v>44448</v>
      </c>
      <c r="F64" s="6">
        <v>44579</v>
      </c>
      <c r="G64" s="3">
        <f t="shared" si="6"/>
        <v>131</v>
      </c>
      <c r="H64" s="3" t="s">
        <v>149</v>
      </c>
      <c r="I64" s="3" t="s">
        <v>341</v>
      </c>
      <c r="J64" s="3" t="s">
        <v>237</v>
      </c>
      <c r="K64" s="3" t="s">
        <v>391</v>
      </c>
      <c r="L64" s="9" t="s">
        <v>206</v>
      </c>
      <c r="M64" s="9" t="s">
        <v>155</v>
      </c>
      <c r="N64" s="9" t="s">
        <v>351</v>
      </c>
      <c r="O64" s="9" t="s">
        <v>384</v>
      </c>
      <c r="P64" s="9"/>
      <c r="Q64" s="9">
        <v>3</v>
      </c>
      <c r="R64" s="9"/>
      <c r="S64" s="9" t="s">
        <v>358</v>
      </c>
      <c r="T64" s="9" t="s">
        <v>385</v>
      </c>
      <c r="U64" s="9" t="s">
        <v>238</v>
      </c>
      <c r="V64" s="9" t="s">
        <v>545</v>
      </c>
      <c r="W64" s="9" t="s">
        <v>371</v>
      </c>
      <c r="X64" s="9" t="s">
        <v>372</v>
      </c>
      <c r="Y64" s="9"/>
      <c r="Z64" s="9"/>
      <c r="AA64" s="9"/>
      <c r="AB64" s="9"/>
      <c r="AC64" s="9"/>
      <c r="AD64" s="9" t="s">
        <v>122</v>
      </c>
      <c r="AE64" s="9"/>
      <c r="AF64" s="9" t="s">
        <v>443</v>
      </c>
      <c r="AG64" s="9"/>
      <c r="AH64" s="9"/>
      <c r="AI64" s="9"/>
      <c r="AJ64" s="9"/>
      <c r="AK64" s="9"/>
      <c r="AL64" s="9"/>
      <c r="AM64" s="13" t="s">
        <v>239</v>
      </c>
    </row>
    <row r="65" spans="1:39" ht="100" customHeight="1">
      <c r="A65" s="9">
        <v>63</v>
      </c>
      <c r="B65" s="3" t="s">
        <v>240</v>
      </c>
      <c r="C65" s="3" t="s">
        <v>67</v>
      </c>
      <c r="D65" s="3">
        <f t="shared" si="4"/>
        <v>2021</v>
      </c>
      <c r="E65" s="6">
        <v>44494</v>
      </c>
      <c r="F65" s="6"/>
      <c r="G65" s="3"/>
      <c r="H65" s="3" t="s">
        <v>163</v>
      </c>
      <c r="I65" s="3" t="s">
        <v>341</v>
      </c>
      <c r="J65" s="3"/>
      <c r="K65" s="3"/>
      <c r="L65" s="9" t="s">
        <v>547</v>
      </c>
      <c r="M65" s="9" t="s">
        <v>551</v>
      </c>
      <c r="N65" s="9" t="s">
        <v>351</v>
      </c>
      <c r="O65" s="9" t="s">
        <v>384</v>
      </c>
      <c r="P65" s="9" t="s">
        <v>398</v>
      </c>
      <c r="Q65" s="9">
        <v>5</v>
      </c>
      <c r="R65" s="9" t="s">
        <v>414</v>
      </c>
      <c r="S65" s="9" t="s">
        <v>358</v>
      </c>
      <c r="T65" s="9" t="s">
        <v>406</v>
      </c>
      <c r="U65" s="9" t="s">
        <v>241</v>
      </c>
      <c r="V65" s="9" t="s">
        <v>465</v>
      </c>
      <c r="W65" s="9" t="s">
        <v>449</v>
      </c>
      <c r="X65" s="9"/>
      <c r="Y65" s="9" t="s">
        <v>374</v>
      </c>
      <c r="Z65" s="9" t="s">
        <v>376</v>
      </c>
      <c r="AA65" s="9"/>
      <c r="AB65" s="9"/>
      <c r="AC65" s="9"/>
      <c r="AD65" s="9" t="s">
        <v>456</v>
      </c>
      <c r="AE65" s="9"/>
      <c r="AF65" s="9"/>
      <c r="AG65" s="9"/>
      <c r="AH65" s="9"/>
      <c r="AI65" s="9"/>
      <c r="AJ65" s="9"/>
      <c r="AK65" s="9"/>
      <c r="AL65" s="9"/>
      <c r="AM65" s="13" t="s">
        <v>546</v>
      </c>
    </row>
    <row r="66" spans="1:39" ht="100" customHeight="1">
      <c r="A66" s="9">
        <v>64</v>
      </c>
      <c r="B66" s="3" t="s">
        <v>242</v>
      </c>
      <c r="C66" s="3" t="s">
        <v>21</v>
      </c>
      <c r="D66" s="3">
        <f t="shared" si="4"/>
        <v>2021</v>
      </c>
      <c r="E66" s="6">
        <v>44509</v>
      </c>
      <c r="F66" s="6">
        <v>45419</v>
      </c>
      <c r="G66" s="3">
        <f>F66-E66</f>
        <v>910</v>
      </c>
      <c r="H66" s="3" t="s">
        <v>243</v>
      </c>
      <c r="I66" s="3" t="s">
        <v>341</v>
      </c>
      <c r="J66" s="3"/>
      <c r="K66" s="3"/>
      <c r="L66" s="9" t="s">
        <v>548</v>
      </c>
      <c r="M66" s="9" t="s">
        <v>400</v>
      </c>
      <c r="N66" s="9" t="s">
        <v>351</v>
      </c>
      <c r="O66" s="9" t="s">
        <v>384</v>
      </c>
      <c r="P66" s="9" t="s">
        <v>355</v>
      </c>
      <c r="Q66" s="9"/>
      <c r="R66" s="9" t="s">
        <v>414</v>
      </c>
      <c r="S66" s="9"/>
      <c r="T66" s="9" t="s">
        <v>406</v>
      </c>
      <c r="U66" s="9" t="s">
        <v>244</v>
      </c>
      <c r="V66" s="9" t="s">
        <v>363</v>
      </c>
      <c r="W66" s="9" t="s">
        <v>466</v>
      </c>
      <c r="X66" s="9" t="s">
        <v>372</v>
      </c>
      <c r="Y66" s="9"/>
      <c r="Z66" s="9"/>
      <c r="AA66" s="9"/>
      <c r="AB66" s="9"/>
      <c r="AC66" s="9"/>
      <c r="AD66" s="9"/>
      <c r="AE66" s="9"/>
      <c r="AF66" s="9" t="s">
        <v>467</v>
      </c>
      <c r="AG66" s="9"/>
      <c r="AH66" s="9"/>
      <c r="AI66" s="9"/>
      <c r="AJ66" s="9"/>
      <c r="AK66" s="9"/>
      <c r="AL66" s="9"/>
      <c r="AM66" s="13" t="s">
        <v>245</v>
      </c>
    </row>
    <row r="67" spans="1:39" ht="100" customHeight="1">
      <c r="A67" s="9">
        <v>65</v>
      </c>
      <c r="B67" s="3" t="s">
        <v>246</v>
      </c>
      <c r="C67" s="3" t="s">
        <v>67</v>
      </c>
      <c r="D67" s="3">
        <f t="shared" ref="D67:D98" si="7">YEAR(E67)</f>
        <v>2021</v>
      </c>
      <c r="E67" s="6">
        <v>44510</v>
      </c>
      <c r="F67" s="6"/>
      <c r="G67" s="3"/>
      <c r="H67" s="3" t="s">
        <v>247</v>
      </c>
      <c r="I67" s="3" t="s">
        <v>488</v>
      </c>
      <c r="J67" s="3"/>
      <c r="K67" s="3"/>
      <c r="L67" s="9" t="s">
        <v>248</v>
      </c>
      <c r="M67" s="9" t="s">
        <v>549</v>
      </c>
      <c r="N67" s="9" t="s">
        <v>351</v>
      </c>
      <c r="O67" s="9" t="s">
        <v>359</v>
      </c>
      <c r="P67" s="9" t="s">
        <v>355</v>
      </c>
      <c r="Q67" s="9">
        <v>14</v>
      </c>
      <c r="R67" s="9" t="s">
        <v>479</v>
      </c>
      <c r="S67" s="9"/>
      <c r="T67" s="9" t="s">
        <v>481</v>
      </c>
      <c r="U67" s="9" t="s">
        <v>249</v>
      </c>
      <c r="V67" s="9" t="s">
        <v>560</v>
      </c>
      <c r="W67" s="9" t="s">
        <v>449</v>
      </c>
      <c r="X67" s="9"/>
      <c r="Y67" s="9"/>
      <c r="Z67" s="9"/>
      <c r="AA67" s="9"/>
      <c r="AB67" s="9" t="s">
        <v>367</v>
      </c>
      <c r="AC67" s="9"/>
      <c r="AD67" s="9" t="s">
        <v>456</v>
      </c>
      <c r="AE67" s="9"/>
      <c r="AF67" s="9"/>
      <c r="AG67" s="9"/>
      <c r="AH67" s="9"/>
      <c r="AI67" s="9"/>
      <c r="AJ67" s="9"/>
      <c r="AK67" s="9"/>
      <c r="AL67" s="9"/>
      <c r="AM67" s="13" t="s">
        <v>250</v>
      </c>
    </row>
    <row r="68" spans="1:39" ht="100" customHeight="1">
      <c r="A68" s="9">
        <v>66</v>
      </c>
      <c r="B68" s="3" t="s">
        <v>251</v>
      </c>
      <c r="C68" s="3" t="s">
        <v>21</v>
      </c>
      <c r="D68" s="3">
        <f t="shared" si="7"/>
        <v>2021</v>
      </c>
      <c r="E68" s="6">
        <v>44536</v>
      </c>
      <c r="F68" s="6">
        <v>44579</v>
      </c>
      <c r="G68" s="3">
        <f>F68-E68</f>
        <v>43</v>
      </c>
      <c r="H68" s="3" t="s">
        <v>149</v>
      </c>
      <c r="I68" s="3" t="s">
        <v>341</v>
      </c>
      <c r="J68" s="3" t="s">
        <v>252</v>
      </c>
      <c r="K68" s="3" t="s">
        <v>391</v>
      </c>
      <c r="L68" s="9" t="s">
        <v>206</v>
      </c>
      <c r="M68" s="9" t="s">
        <v>155</v>
      </c>
      <c r="N68" s="9" t="s">
        <v>351</v>
      </c>
      <c r="O68" s="9" t="s">
        <v>384</v>
      </c>
      <c r="P68" s="9" t="s">
        <v>398</v>
      </c>
      <c r="Q68" s="9">
        <v>5</v>
      </c>
      <c r="R68" s="9"/>
      <c r="S68" s="9" t="s">
        <v>358</v>
      </c>
      <c r="T68" s="9" t="s">
        <v>385</v>
      </c>
      <c r="U68" s="9" t="s">
        <v>253</v>
      </c>
      <c r="V68" s="9" t="s">
        <v>545</v>
      </c>
      <c r="W68" s="9" t="s">
        <v>371</v>
      </c>
      <c r="X68" s="9" t="s">
        <v>372</v>
      </c>
      <c r="Y68" s="9"/>
      <c r="Z68" s="9"/>
      <c r="AA68" s="9"/>
      <c r="AB68" s="9"/>
      <c r="AC68" s="9"/>
      <c r="AD68" s="9" t="s">
        <v>122</v>
      </c>
      <c r="AE68" s="9"/>
      <c r="AF68" s="9" t="s">
        <v>443</v>
      </c>
      <c r="AG68" s="9"/>
      <c r="AH68" s="9"/>
      <c r="AI68" s="9"/>
      <c r="AJ68" s="9"/>
      <c r="AK68" s="9"/>
      <c r="AL68" s="9"/>
      <c r="AM68" s="12" t="s">
        <v>552</v>
      </c>
    </row>
    <row r="69" spans="1:39" ht="100" customHeight="1">
      <c r="A69" s="9">
        <v>67</v>
      </c>
      <c r="B69" s="3" t="s">
        <v>554</v>
      </c>
      <c r="C69" s="3" t="s">
        <v>21</v>
      </c>
      <c r="D69" s="3">
        <f t="shared" si="7"/>
        <v>2021</v>
      </c>
      <c r="E69" s="6">
        <v>44536</v>
      </c>
      <c r="F69" s="6">
        <v>44579</v>
      </c>
      <c r="G69" s="3">
        <f>F69-E69</f>
        <v>43</v>
      </c>
      <c r="H69" s="3" t="s">
        <v>149</v>
      </c>
      <c r="I69" s="3" t="s">
        <v>341</v>
      </c>
      <c r="J69" s="3" t="s">
        <v>254</v>
      </c>
      <c r="K69" s="3" t="s">
        <v>391</v>
      </c>
      <c r="L69" s="9" t="s">
        <v>206</v>
      </c>
      <c r="M69" s="9" t="s">
        <v>155</v>
      </c>
      <c r="N69" s="9" t="s">
        <v>351</v>
      </c>
      <c r="O69" s="9" t="s">
        <v>384</v>
      </c>
      <c r="P69" s="9" t="s">
        <v>398</v>
      </c>
      <c r="Q69" s="9"/>
      <c r="R69" s="9"/>
      <c r="S69" s="9" t="s">
        <v>358</v>
      </c>
      <c r="T69" s="9" t="s">
        <v>385</v>
      </c>
      <c r="U69" s="9" t="s">
        <v>255</v>
      </c>
      <c r="V69" s="9" t="s">
        <v>545</v>
      </c>
      <c r="W69" s="9" t="s">
        <v>371</v>
      </c>
      <c r="X69" s="9" t="s">
        <v>372</v>
      </c>
      <c r="Y69" s="9"/>
      <c r="Z69" s="9"/>
      <c r="AA69" s="9"/>
      <c r="AB69" s="9"/>
      <c r="AC69" s="9"/>
      <c r="AD69" s="9" t="s">
        <v>122</v>
      </c>
      <c r="AE69" s="9"/>
      <c r="AF69" s="9" t="s">
        <v>443</v>
      </c>
      <c r="AG69" s="9"/>
      <c r="AH69" s="9"/>
      <c r="AI69" s="9"/>
      <c r="AJ69" s="9"/>
      <c r="AK69" s="9"/>
      <c r="AL69" s="9"/>
      <c r="AM69" s="13" t="s">
        <v>256</v>
      </c>
    </row>
    <row r="70" spans="1:39" ht="100" customHeight="1">
      <c r="A70" s="9">
        <v>68</v>
      </c>
      <c r="B70" s="3" t="s">
        <v>497</v>
      </c>
      <c r="C70" s="3" t="s">
        <v>381</v>
      </c>
      <c r="D70" s="3">
        <v>2021</v>
      </c>
      <c r="E70" s="6">
        <v>44279</v>
      </c>
      <c r="F70" s="8">
        <v>45810</v>
      </c>
      <c r="G70" s="3">
        <f>F70-E70</f>
        <v>1531</v>
      </c>
      <c r="H70" s="3" t="s">
        <v>142</v>
      </c>
      <c r="I70" s="3"/>
      <c r="J70" s="3"/>
      <c r="K70" s="3"/>
      <c r="L70" s="9" t="s">
        <v>498</v>
      </c>
      <c r="M70" s="9" t="s">
        <v>400</v>
      </c>
      <c r="N70" s="9" t="s">
        <v>383</v>
      </c>
      <c r="O70" s="9" t="s">
        <v>384</v>
      </c>
      <c r="P70" s="9" t="s">
        <v>398</v>
      </c>
      <c r="Q70" s="9"/>
      <c r="R70" s="9"/>
      <c r="S70" s="9" t="s">
        <v>358</v>
      </c>
      <c r="T70" s="9" t="s">
        <v>406</v>
      </c>
      <c r="U70" s="9" t="s">
        <v>499</v>
      </c>
      <c r="V70" s="9" t="s">
        <v>461</v>
      </c>
      <c r="W70" s="9" t="s">
        <v>371</v>
      </c>
      <c r="X70" s="9" t="s">
        <v>372</v>
      </c>
      <c r="Y70" s="9"/>
      <c r="Z70" s="9"/>
      <c r="AA70" s="9"/>
      <c r="AB70" s="9"/>
      <c r="AC70" s="9"/>
      <c r="AD70" s="9" t="s">
        <v>122</v>
      </c>
      <c r="AE70" s="9" t="s">
        <v>450</v>
      </c>
      <c r="AF70" s="9"/>
      <c r="AG70" s="9"/>
      <c r="AH70" s="9" t="s">
        <v>366</v>
      </c>
      <c r="AI70" s="9" t="s">
        <v>413</v>
      </c>
      <c r="AJ70" s="9" t="s">
        <v>454</v>
      </c>
      <c r="AK70" s="9"/>
      <c r="AL70" s="9"/>
      <c r="AM70" s="12" t="s">
        <v>500</v>
      </c>
    </row>
    <row r="71" spans="1:39" ht="100" customHeight="1">
      <c r="A71" s="9">
        <v>69</v>
      </c>
      <c r="B71" s="3" t="s">
        <v>257</v>
      </c>
      <c r="C71" s="3" t="s">
        <v>67</v>
      </c>
      <c r="D71" s="3">
        <f t="shared" ref="D71:D93" si="8">YEAR(E71)</f>
        <v>2022</v>
      </c>
      <c r="E71" s="6">
        <v>44585</v>
      </c>
      <c r="F71" s="6"/>
      <c r="G71" s="3"/>
      <c r="H71" s="3" t="s">
        <v>149</v>
      </c>
      <c r="I71" s="3" t="s">
        <v>341</v>
      </c>
      <c r="J71" s="3"/>
      <c r="K71" s="3"/>
      <c r="L71" s="9" t="s">
        <v>206</v>
      </c>
      <c r="M71" s="9" t="s">
        <v>155</v>
      </c>
      <c r="N71" s="9" t="s">
        <v>383</v>
      </c>
      <c r="O71" s="9" t="s">
        <v>384</v>
      </c>
      <c r="P71" s="9" t="s">
        <v>398</v>
      </c>
      <c r="Q71" s="9"/>
      <c r="R71" s="9"/>
      <c r="S71" s="9" t="s">
        <v>358</v>
      </c>
      <c r="T71" s="9" t="s">
        <v>406</v>
      </c>
      <c r="U71" s="9" t="s">
        <v>258</v>
      </c>
      <c r="V71" s="9" t="s">
        <v>559</v>
      </c>
      <c r="W71" s="9" t="s">
        <v>371</v>
      </c>
      <c r="X71" s="9" t="s">
        <v>372</v>
      </c>
      <c r="Y71" s="9"/>
      <c r="Z71" s="9"/>
      <c r="AA71" s="9"/>
      <c r="AB71" s="9"/>
      <c r="AC71" s="9"/>
      <c r="AD71" s="9" t="s">
        <v>456</v>
      </c>
      <c r="AE71" s="9"/>
      <c r="AF71" s="9"/>
      <c r="AG71" s="9"/>
      <c r="AH71" s="9"/>
      <c r="AI71" s="9"/>
      <c r="AJ71" s="9"/>
      <c r="AK71" s="9"/>
      <c r="AL71" s="9"/>
      <c r="AM71" s="13" t="s">
        <v>259</v>
      </c>
    </row>
    <row r="72" spans="1:39" ht="100" customHeight="1">
      <c r="A72" s="9">
        <v>70</v>
      </c>
      <c r="B72" s="3" t="s">
        <v>260</v>
      </c>
      <c r="C72" s="3" t="s">
        <v>557</v>
      </c>
      <c r="D72" s="3">
        <f t="shared" si="8"/>
        <v>2022</v>
      </c>
      <c r="E72" s="6">
        <v>44713</v>
      </c>
      <c r="F72" s="6">
        <v>45463</v>
      </c>
      <c r="G72" s="3">
        <f>F72-E72</f>
        <v>750</v>
      </c>
      <c r="H72" s="3" t="s">
        <v>22</v>
      </c>
      <c r="I72" s="3" t="s">
        <v>341</v>
      </c>
      <c r="J72" s="3" t="s">
        <v>556</v>
      </c>
      <c r="K72" s="3" t="s">
        <v>391</v>
      </c>
      <c r="L72" s="9" t="s">
        <v>555</v>
      </c>
      <c r="M72" s="9" t="s">
        <v>419</v>
      </c>
      <c r="N72" s="9" t="s">
        <v>351</v>
      </c>
      <c r="O72" s="9" t="s">
        <v>384</v>
      </c>
      <c r="P72" s="9" t="s">
        <v>398</v>
      </c>
      <c r="Q72" s="9">
        <v>14</v>
      </c>
      <c r="R72" s="9"/>
      <c r="S72" s="9" t="s">
        <v>358</v>
      </c>
      <c r="T72" s="9" t="s">
        <v>385</v>
      </c>
      <c r="U72" s="9" t="s">
        <v>261</v>
      </c>
      <c r="V72" s="9" t="s">
        <v>394</v>
      </c>
      <c r="W72" s="9" t="s">
        <v>371</v>
      </c>
      <c r="X72" s="9" t="s">
        <v>372</v>
      </c>
      <c r="Y72" s="9"/>
      <c r="Z72" s="9"/>
      <c r="AA72" s="9"/>
      <c r="AB72" s="9" t="s">
        <v>367</v>
      </c>
      <c r="AC72" s="9" t="s">
        <v>26</v>
      </c>
      <c r="AD72" s="9"/>
      <c r="AE72" s="9"/>
      <c r="AF72" s="9"/>
      <c r="AG72" s="9"/>
      <c r="AH72" s="9" t="s">
        <v>366</v>
      </c>
      <c r="AI72" s="9" t="s">
        <v>525</v>
      </c>
      <c r="AJ72" s="9" t="s">
        <v>421</v>
      </c>
      <c r="AK72" s="9"/>
      <c r="AL72" s="9"/>
      <c r="AM72" s="13" t="s">
        <v>553</v>
      </c>
    </row>
    <row r="73" spans="1:39" ht="100" customHeight="1">
      <c r="A73" s="9">
        <v>71</v>
      </c>
      <c r="B73" s="3" t="s">
        <v>262</v>
      </c>
      <c r="C73" s="3" t="s">
        <v>520</v>
      </c>
      <c r="D73" s="3">
        <f t="shared" si="8"/>
        <v>2022</v>
      </c>
      <c r="E73" s="6">
        <v>44725</v>
      </c>
      <c r="F73" s="6">
        <v>45533</v>
      </c>
      <c r="G73" s="3">
        <f>F73-E73</f>
        <v>808</v>
      </c>
      <c r="H73" s="3" t="s">
        <v>154</v>
      </c>
      <c r="I73" s="3" t="s">
        <v>341</v>
      </c>
      <c r="J73" s="3"/>
      <c r="K73" s="3"/>
      <c r="L73" s="9" t="s">
        <v>155</v>
      </c>
      <c r="M73" s="9" t="s">
        <v>155</v>
      </c>
      <c r="N73" s="9" t="s">
        <v>351</v>
      </c>
      <c r="O73" s="9" t="s">
        <v>359</v>
      </c>
      <c r="P73" s="9" t="s">
        <v>398</v>
      </c>
      <c r="Q73" s="9">
        <v>62</v>
      </c>
      <c r="R73" s="9" t="s">
        <v>360</v>
      </c>
      <c r="S73" s="9" t="s">
        <v>358</v>
      </c>
      <c r="T73" s="9" t="s">
        <v>406</v>
      </c>
      <c r="U73" s="9" t="s">
        <v>263</v>
      </c>
      <c r="V73" s="9" t="s">
        <v>560</v>
      </c>
      <c r="W73" s="9" t="s">
        <v>371</v>
      </c>
      <c r="X73" s="9" t="s">
        <v>372</v>
      </c>
      <c r="Y73" s="9" t="s">
        <v>374</v>
      </c>
      <c r="Z73" s="9"/>
      <c r="AA73" s="9"/>
      <c r="AB73" s="9" t="s">
        <v>367</v>
      </c>
      <c r="AC73" s="9"/>
      <c r="AD73" s="9" t="s">
        <v>122</v>
      </c>
      <c r="AE73" s="9"/>
      <c r="AF73" s="9"/>
      <c r="AG73" s="9"/>
      <c r="AH73" s="9" t="s">
        <v>366</v>
      </c>
      <c r="AI73" s="9" t="s">
        <v>367</v>
      </c>
      <c r="AJ73" s="9" t="s">
        <v>454</v>
      </c>
      <c r="AK73" s="9"/>
      <c r="AL73" s="9"/>
      <c r="AM73" s="13" t="s">
        <v>558</v>
      </c>
    </row>
    <row r="74" spans="1:39" ht="100" customHeight="1">
      <c r="A74" s="9">
        <v>72</v>
      </c>
      <c r="B74" s="3" t="s">
        <v>264</v>
      </c>
      <c r="C74" s="3" t="s">
        <v>381</v>
      </c>
      <c r="D74" s="3">
        <f t="shared" si="8"/>
        <v>2022</v>
      </c>
      <c r="E74" s="6">
        <v>44733</v>
      </c>
      <c r="F74" s="6">
        <v>45622</v>
      </c>
      <c r="G74" s="3">
        <f>F74-E74</f>
        <v>889</v>
      </c>
      <c r="H74" s="3" t="s">
        <v>561</v>
      </c>
      <c r="I74" s="3" t="s">
        <v>341</v>
      </c>
      <c r="J74" s="3"/>
      <c r="K74" s="3"/>
      <c r="L74" s="9"/>
      <c r="M74" s="9" t="s">
        <v>551</v>
      </c>
      <c r="N74" s="9" t="s">
        <v>351</v>
      </c>
      <c r="O74" s="9" t="s">
        <v>359</v>
      </c>
      <c r="P74" s="9" t="s">
        <v>355</v>
      </c>
      <c r="Q74" s="9">
        <v>5</v>
      </c>
      <c r="R74" s="9" t="s">
        <v>479</v>
      </c>
      <c r="S74" s="9"/>
      <c r="T74" s="9" t="s">
        <v>469</v>
      </c>
      <c r="U74" s="9" t="s">
        <v>265</v>
      </c>
      <c r="V74" s="9" t="s">
        <v>559</v>
      </c>
      <c r="W74" s="9" t="s">
        <v>371</v>
      </c>
      <c r="X74" s="9"/>
      <c r="Y74" s="9" t="s">
        <v>374</v>
      </c>
      <c r="Z74" s="9"/>
      <c r="AA74" s="9"/>
      <c r="AB74" s="9"/>
      <c r="AC74" s="9"/>
      <c r="AD74" s="9" t="s">
        <v>122</v>
      </c>
      <c r="AE74" s="9" t="s">
        <v>403</v>
      </c>
      <c r="AF74" s="9"/>
      <c r="AG74" s="9"/>
      <c r="AH74" s="9"/>
      <c r="AI74" s="9"/>
      <c r="AJ74" s="9"/>
      <c r="AK74" s="9"/>
      <c r="AL74" s="9"/>
      <c r="AM74" s="13" t="s">
        <v>266</v>
      </c>
    </row>
    <row r="75" spans="1:39" ht="100" customHeight="1">
      <c r="A75" s="9">
        <v>73</v>
      </c>
      <c r="B75" s="3" t="s">
        <v>267</v>
      </c>
      <c r="C75" s="3" t="s">
        <v>381</v>
      </c>
      <c r="D75" s="3">
        <f t="shared" si="8"/>
        <v>2022</v>
      </c>
      <c r="E75" s="6">
        <v>44736</v>
      </c>
      <c r="F75" s="6">
        <v>45897</v>
      </c>
      <c r="G75" s="3">
        <f>F75-E75</f>
        <v>1161</v>
      </c>
      <c r="H75" s="3" t="s">
        <v>561</v>
      </c>
      <c r="I75" s="3" t="s">
        <v>341</v>
      </c>
      <c r="J75" s="3"/>
      <c r="K75" s="3" t="s">
        <v>391</v>
      </c>
      <c r="L75" s="9" t="s">
        <v>181</v>
      </c>
      <c r="M75" s="9" t="s">
        <v>551</v>
      </c>
      <c r="N75" s="9" t="s">
        <v>351</v>
      </c>
      <c r="O75" s="9" t="s">
        <v>384</v>
      </c>
      <c r="P75" s="9"/>
      <c r="Q75" s="9">
        <v>9</v>
      </c>
      <c r="R75" s="9" t="s">
        <v>447</v>
      </c>
      <c r="S75" s="9"/>
      <c r="T75" s="9" t="s">
        <v>406</v>
      </c>
      <c r="U75" s="9" t="s">
        <v>268</v>
      </c>
      <c r="V75" s="9" t="s">
        <v>559</v>
      </c>
      <c r="W75" s="9" t="s">
        <v>449</v>
      </c>
      <c r="X75" s="9"/>
      <c r="Y75" s="9"/>
      <c r="Z75" s="9"/>
      <c r="AA75" s="9"/>
      <c r="AB75" s="9"/>
      <c r="AC75" s="9"/>
      <c r="AD75" s="9" t="s">
        <v>170</v>
      </c>
      <c r="AE75" s="9" t="s">
        <v>403</v>
      </c>
      <c r="AF75" s="9"/>
      <c r="AG75" s="9"/>
      <c r="AH75" s="9"/>
      <c r="AI75" s="9"/>
      <c r="AJ75" s="9"/>
      <c r="AK75" s="9"/>
      <c r="AL75" s="9"/>
      <c r="AM75" s="13" t="s">
        <v>269</v>
      </c>
    </row>
    <row r="76" spans="1:39" ht="100" customHeight="1">
      <c r="A76" s="9">
        <v>74</v>
      </c>
      <c r="B76" s="3" t="s">
        <v>270</v>
      </c>
      <c r="C76" s="3" t="s">
        <v>67</v>
      </c>
      <c r="D76" s="3">
        <f t="shared" si="8"/>
        <v>2022</v>
      </c>
      <c r="E76" s="6">
        <v>44756</v>
      </c>
      <c r="F76" s="6"/>
      <c r="G76" s="3"/>
      <c r="H76" s="3" t="s">
        <v>271</v>
      </c>
      <c r="I76" s="3" t="s">
        <v>340</v>
      </c>
      <c r="J76" s="3"/>
      <c r="K76" s="3"/>
      <c r="L76" s="9" t="s">
        <v>272</v>
      </c>
      <c r="M76" s="9" t="s">
        <v>562</v>
      </c>
      <c r="N76" s="9" t="s">
        <v>351</v>
      </c>
      <c r="O76" s="9" t="s">
        <v>384</v>
      </c>
      <c r="P76" s="9" t="s">
        <v>398</v>
      </c>
      <c r="Q76" s="9">
        <v>14</v>
      </c>
      <c r="R76" s="9" t="s">
        <v>416</v>
      </c>
      <c r="S76" s="9"/>
      <c r="T76" s="9" t="s">
        <v>406</v>
      </c>
      <c r="U76" s="9" t="s">
        <v>273</v>
      </c>
      <c r="V76" s="9" t="s">
        <v>559</v>
      </c>
      <c r="W76" s="9" t="s">
        <v>371</v>
      </c>
      <c r="X76" s="9"/>
      <c r="Y76" s="9" t="s">
        <v>374</v>
      </c>
      <c r="Z76" s="9"/>
      <c r="AA76" s="9"/>
      <c r="AB76" s="9"/>
      <c r="AC76" s="9"/>
      <c r="AD76" s="9" t="s">
        <v>456</v>
      </c>
      <c r="AE76" s="9"/>
      <c r="AF76" s="9"/>
      <c r="AG76" s="9"/>
      <c r="AH76" s="9"/>
      <c r="AI76" s="9"/>
      <c r="AJ76" s="9"/>
      <c r="AK76" s="9"/>
      <c r="AL76" s="9"/>
      <c r="AM76" s="13" t="s">
        <v>274</v>
      </c>
    </row>
    <row r="77" spans="1:39" ht="100" customHeight="1">
      <c r="A77" s="9">
        <v>75</v>
      </c>
      <c r="B77" s="3" t="s">
        <v>275</v>
      </c>
      <c r="C77" s="3" t="s">
        <v>67</v>
      </c>
      <c r="D77" s="3">
        <f t="shared" si="8"/>
        <v>2022</v>
      </c>
      <c r="E77" s="6">
        <v>44785</v>
      </c>
      <c r="F77" s="6"/>
      <c r="G77" s="3"/>
      <c r="H77" s="3" t="s">
        <v>276</v>
      </c>
      <c r="I77" s="3"/>
      <c r="J77" s="3"/>
      <c r="K77" s="3"/>
      <c r="L77" s="9" t="s">
        <v>277</v>
      </c>
      <c r="M77" s="9" t="s">
        <v>445</v>
      </c>
      <c r="N77" s="9" t="s">
        <v>351</v>
      </c>
      <c r="O77" s="9" t="s">
        <v>384</v>
      </c>
      <c r="P77" s="9"/>
      <c r="Q77" s="9"/>
      <c r="R77" s="9" t="s">
        <v>424</v>
      </c>
      <c r="S77" s="9"/>
      <c r="T77" s="9" t="s">
        <v>532</v>
      </c>
      <c r="U77" s="9" t="s">
        <v>278</v>
      </c>
      <c r="V77" s="9" t="s">
        <v>363</v>
      </c>
      <c r="W77" s="9" t="s">
        <v>449</v>
      </c>
      <c r="X77" s="9"/>
      <c r="Y77" s="9" t="s">
        <v>374</v>
      </c>
      <c r="Z77" s="9"/>
      <c r="AA77" s="9"/>
      <c r="AB77" s="9"/>
      <c r="AC77" s="9"/>
      <c r="AD77" s="9" t="s">
        <v>122</v>
      </c>
      <c r="AE77" s="9"/>
      <c r="AF77" s="9"/>
      <c r="AG77" s="9"/>
      <c r="AH77" s="9"/>
      <c r="AI77" s="9"/>
      <c r="AJ77" s="9"/>
      <c r="AK77" s="9"/>
      <c r="AL77" s="9"/>
      <c r="AM77" s="13" t="s">
        <v>279</v>
      </c>
    </row>
    <row r="78" spans="1:39" ht="100" customHeight="1">
      <c r="A78" s="9">
        <v>76</v>
      </c>
      <c r="B78" s="3" t="s">
        <v>280</v>
      </c>
      <c r="C78" s="3" t="s">
        <v>21</v>
      </c>
      <c r="D78" s="3">
        <f t="shared" si="8"/>
        <v>2023</v>
      </c>
      <c r="E78" s="6">
        <v>44927</v>
      </c>
      <c r="F78" s="6"/>
      <c r="G78" s="3"/>
      <c r="H78" s="3" t="s">
        <v>281</v>
      </c>
      <c r="I78" s="3" t="s">
        <v>340</v>
      </c>
      <c r="J78" s="3"/>
      <c r="K78" s="3"/>
      <c r="L78" s="9" t="s">
        <v>217</v>
      </c>
      <c r="M78" s="9" t="s">
        <v>400</v>
      </c>
      <c r="N78" s="9" t="s">
        <v>351</v>
      </c>
      <c r="O78" s="9" t="s">
        <v>384</v>
      </c>
      <c r="P78" s="9" t="s">
        <v>398</v>
      </c>
      <c r="Q78" s="9"/>
      <c r="R78" s="9" t="s">
        <v>440</v>
      </c>
      <c r="S78" s="9" t="s">
        <v>399</v>
      </c>
      <c r="T78" s="9" t="s">
        <v>532</v>
      </c>
      <c r="U78" s="9" t="s">
        <v>588</v>
      </c>
      <c r="V78" s="9" t="s">
        <v>564</v>
      </c>
      <c r="W78" s="9" t="s">
        <v>371</v>
      </c>
      <c r="X78" s="9" t="s">
        <v>372</v>
      </c>
      <c r="Y78" s="9" t="s">
        <v>374</v>
      </c>
      <c r="Z78" s="9" t="s">
        <v>376</v>
      </c>
      <c r="AA78" s="9"/>
      <c r="AB78" s="9"/>
      <c r="AC78" s="9"/>
      <c r="AD78" s="9"/>
      <c r="AE78" s="9"/>
      <c r="AF78" s="9"/>
      <c r="AG78" s="9"/>
      <c r="AH78" s="9"/>
      <c r="AI78" s="9"/>
      <c r="AJ78" s="9"/>
      <c r="AK78" s="9"/>
      <c r="AL78" s="9"/>
      <c r="AM78" s="13" t="s">
        <v>563</v>
      </c>
    </row>
    <row r="79" spans="1:39" ht="100" customHeight="1">
      <c r="A79" s="9">
        <v>77</v>
      </c>
      <c r="B79" s="3" t="s">
        <v>282</v>
      </c>
      <c r="C79" s="3" t="s">
        <v>21</v>
      </c>
      <c r="D79" s="3">
        <f t="shared" si="8"/>
        <v>2023</v>
      </c>
      <c r="E79" s="6">
        <v>44978</v>
      </c>
      <c r="F79" s="6">
        <v>45444</v>
      </c>
      <c r="G79" s="3">
        <f>F79-E79</f>
        <v>466</v>
      </c>
      <c r="H79" s="3" t="s">
        <v>283</v>
      </c>
      <c r="I79" s="3" t="s">
        <v>341</v>
      </c>
      <c r="J79" s="3"/>
      <c r="K79" s="3"/>
      <c r="L79" s="9" t="s">
        <v>155</v>
      </c>
      <c r="M79" s="9" t="s">
        <v>155</v>
      </c>
      <c r="N79" s="9" t="s">
        <v>351</v>
      </c>
      <c r="O79" s="9" t="s">
        <v>359</v>
      </c>
      <c r="P79" s="9" t="s">
        <v>398</v>
      </c>
      <c r="Q79" s="9" t="s">
        <v>284</v>
      </c>
      <c r="R79" s="9"/>
      <c r="S79" s="9"/>
      <c r="T79" s="9" t="s">
        <v>342</v>
      </c>
      <c r="U79" s="9" t="s">
        <v>285</v>
      </c>
      <c r="V79" s="9" t="s">
        <v>461</v>
      </c>
      <c r="W79" s="9" t="s">
        <v>371</v>
      </c>
      <c r="X79" s="9"/>
      <c r="Y79" s="9"/>
      <c r="Z79" s="9" t="s">
        <v>376</v>
      </c>
      <c r="AA79" s="9"/>
      <c r="AB79" s="9" t="s">
        <v>367</v>
      </c>
      <c r="AC79" s="9"/>
      <c r="AD79" s="9"/>
      <c r="AE79" s="9" t="s">
        <v>403</v>
      </c>
      <c r="AF79" s="9"/>
      <c r="AG79" s="9"/>
      <c r="AH79" s="9"/>
      <c r="AI79" s="9"/>
      <c r="AJ79" s="9"/>
      <c r="AK79" s="9"/>
      <c r="AL79" s="9"/>
      <c r="AM79" s="13" t="s">
        <v>565</v>
      </c>
    </row>
    <row r="80" spans="1:39" ht="100" customHeight="1">
      <c r="A80" s="9">
        <v>78</v>
      </c>
      <c r="B80" s="3" t="s">
        <v>286</v>
      </c>
      <c r="C80" s="3" t="s">
        <v>21</v>
      </c>
      <c r="D80" s="3">
        <f t="shared" si="8"/>
        <v>2023</v>
      </c>
      <c r="E80" s="6">
        <v>45054</v>
      </c>
      <c r="F80" s="6">
        <v>45282</v>
      </c>
      <c r="G80" s="3">
        <f>F80-E80</f>
        <v>228</v>
      </c>
      <c r="H80" s="3" t="s">
        <v>287</v>
      </c>
      <c r="I80" s="3" t="s">
        <v>340</v>
      </c>
      <c r="J80" s="3"/>
      <c r="K80" s="3"/>
      <c r="L80" s="9" t="s">
        <v>288</v>
      </c>
      <c r="M80" s="9" t="s">
        <v>400</v>
      </c>
      <c r="N80" s="9" t="s">
        <v>351</v>
      </c>
      <c r="O80" s="9" t="s">
        <v>384</v>
      </c>
      <c r="P80" s="9" t="s">
        <v>355</v>
      </c>
      <c r="Q80" s="9">
        <v>3</v>
      </c>
      <c r="R80" s="9"/>
      <c r="S80" s="9"/>
      <c r="T80" s="9" t="s">
        <v>406</v>
      </c>
      <c r="U80" s="9" t="s">
        <v>566</v>
      </c>
      <c r="V80" s="9" t="s">
        <v>559</v>
      </c>
      <c r="W80" s="9" t="s">
        <v>449</v>
      </c>
      <c r="X80" s="9"/>
      <c r="Y80" s="9" t="s">
        <v>374</v>
      </c>
      <c r="Z80" s="9"/>
      <c r="AA80" s="9"/>
      <c r="AB80" s="9"/>
      <c r="AC80" s="9"/>
      <c r="AD80" s="9" t="s">
        <v>456</v>
      </c>
      <c r="AE80" s="9" t="s">
        <v>403</v>
      </c>
      <c r="AF80" s="9"/>
      <c r="AG80" s="9"/>
      <c r="AH80" s="9"/>
      <c r="AI80" s="9"/>
      <c r="AJ80" s="9"/>
      <c r="AK80" s="9"/>
      <c r="AL80" s="9"/>
      <c r="AM80" s="13" t="s">
        <v>289</v>
      </c>
    </row>
    <row r="81" spans="1:39" ht="100" customHeight="1">
      <c r="A81" s="9">
        <v>79</v>
      </c>
      <c r="B81" s="3" t="s">
        <v>290</v>
      </c>
      <c r="C81" s="3" t="s">
        <v>21</v>
      </c>
      <c r="D81" s="3">
        <f t="shared" si="8"/>
        <v>2023</v>
      </c>
      <c r="E81" s="6">
        <v>45056</v>
      </c>
      <c r="F81" s="6">
        <v>45453</v>
      </c>
      <c r="G81" s="3"/>
      <c r="H81" s="3" t="s">
        <v>22</v>
      </c>
      <c r="I81" s="3" t="s">
        <v>341</v>
      </c>
      <c r="J81" s="3" t="s">
        <v>569</v>
      </c>
      <c r="K81" s="3" t="s">
        <v>391</v>
      </c>
      <c r="L81" s="9" t="s">
        <v>568</v>
      </c>
      <c r="M81" s="9" t="s">
        <v>393</v>
      </c>
      <c r="N81" s="9" t="s">
        <v>351</v>
      </c>
      <c r="O81" s="9" t="s">
        <v>384</v>
      </c>
      <c r="P81" s="9" t="s">
        <v>398</v>
      </c>
      <c r="Q81" s="9"/>
      <c r="R81" s="9" t="s">
        <v>416</v>
      </c>
      <c r="S81" s="9" t="s">
        <v>358</v>
      </c>
      <c r="T81" s="9" t="s">
        <v>385</v>
      </c>
      <c r="U81" s="9" t="s">
        <v>291</v>
      </c>
      <c r="V81" s="9" t="s">
        <v>363</v>
      </c>
      <c r="W81" s="9" t="s">
        <v>371</v>
      </c>
      <c r="X81" s="9" t="s">
        <v>372</v>
      </c>
      <c r="Y81" s="9"/>
      <c r="Z81" s="9"/>
      <c r="AA81" s="9"/>
      <c r="AB81" s="9"/>
      <c r="AC81" s="9"/>
      <c r="AD81" s="9"/>
      <c r="AE81" s="9" t="s">
        <v>403</v>
      </c>
      <c r="AF81" s="9"/>
      <c r="AG81" s="9"/>
      <c r="AH81" s="9"/>
      <c r="AI81" s="9"/>
      <c r="AJ81" s="9"/>
      <c r="AK81" s="9"/>
      <c r="AL81" s="9"/>
      <c r="AM81" s="12" t="s">
        <v>567</v>
      </c>
    </row>
    <row r="82" spans="1:39" ht="100" customHeight="1">
      <c r="A82" s="9">
        <v>80</v>
      </c>
      <c r="B82" s="3" t="s">
        <v>292</v>
      </c>
      <c r="C82" s="3" t="s">
        <v>16</v>
      </c>
      <c r="D82" s="3">
        <f t="shared" si="8"/>
        <v>2023</v>
      </c>
      <c r="E82" s="6">
        <v>45106</v>
      </c>
      <c r="F82" s="6">
        <v>45309</v>
      </c>
      <c r="G82" s="3"/>
      <c r="H82" s="3" t="s">
        <v>96</v>
      </c>
      <c r="I82" s="3" t="s">
        <v>341</v>
      </c>
      <c r="J82" s="3"/>
      <c r="K82" s="3"/>
      <c r="L82" s="9" t="s">
        <v>570</v>
      </c>
      <c r="M82" s="9" t="s">
        <v>400</v>
      </c>
      <c r="N82" s="9" t="s">
        <v>571</v>
      </c>
      <c r="O82" s="9" t="s">
        <v>384</v>
      </c>
      <c r="P82" s="9" t="s">
        <v>398</v>
      </c>
      <c r="Q82" s="9"/>
      <c r="R82" s="9"/>
      <c r="S82" s="9" t="s">
        <v>358</v>
      </c>
      <c r="T82" s="9" t="s">
        <v>406</v>
      </c>
      <c r="U82" s="9" t="s">
        <v>293</v>
      </c>
      <c r="V82" s="9" t="s">
        <v>363</v>
      </c>
      <c r="W82" s="9" t="s">
        <v>371</v>
      </c>
      <c r="X82" s="9" t="s">
        <v>372</v>
      </c>
      <c r="Y82" s="9"/>
      <c r="Z82" s="9"/>
      <c r="AA82" s="9"/>
      <c r="AB82" s="9" t="s">
        <v>367</v>
      </c>
      <c r="AC82" s="9"/>
      <c r="AD82" s="9" t="s">
        <v>170</v>
      </c>
      <c r="AE82" s="9"/>
      <c r="AF82" s="9"/>
      <c r="AG82" s="9"/>
      <c r="AH82" s="9" t="s">
        <v>432</v>
      </c>
      <c r="AI82" s="9" t="s">
        <v>367</v>
      </c>
      <c r="AJ82" s="9" t="s">
        <v>369</v>
      </c>
      <c r="AK82" s="9"/>
      <c r="AL82" s="9"/>
      <c r="AM82" s="13" t="s">
        <v>294</v>
      </c>
    </row>
    <row r="83" spans="1:39" ht="100" customHeight="1">
      <c r="A83" s="9">
        <v>81</v>
      </c>
      <c r="B83" s="3" t="s">
        <v>295</v>
      </c>
      <c r="C83" s="3" t="s">
        <v>67</v>
      </c>
      <c r="D83" s="3">
        <f t="shared" si="8"/>
        <v>2023</v>
      </c>
      <c r="E83" s="6">
        <v>45223</v>
      </c>
      <c r="F83" s="6"/>
      <c r="G83" s="3"/>
      <c r="H83" s="3" t="s">
        <v>149</v>
      </c>
      <c r="I83" s="3" t="s">
        <v>341</v>
      </c>
      <c r="J83" s="3"/>
      <c r="K83" s="3"/>
      <c r="L83" s="9" t="s">
        <v>296</v>
      </c>
      <c r="M83" s="9" t="s">
        <v>155</v>
      </c>
      <c r="N83" s="9" t="s">
        <v>383</v>
      </c>
      <c r="O83" s="9" t="s">
        <v>384</v>
      </c>
      <c r="P83" s="9" t="s">
        <v>398</v>
      </c>
      <c r="Q83" s="9"/>
      <c r="R83" s="9"/>
      <c r="S83" s="9" t="s">
        <v>358</v>
      </c>
      <c r="T83" s="9" t="s">
        <v>406</v>
      </c>
      <c r="U83" s="9" t="s">
        <v>297</v>
      </c>
      <c r="V83" s="9" t="s">
        <v>559</v>
      </c>
      <c r="W83" s="9" t="s">
        <v>371</v>
      </c>
      <c r="X83" s="9" t="s">
        <v>372</v>
      </c>
      <c r="Y83" s="9"/>
      <c r="Z83" s="9"/>
      <c r="AA83" s="9"/>
      <c r="AB83" s="9" t="s">
        <v>367</v>
      </c>
      <c r="AC83" s="9"/>
      <c r="AD83" s="9"/>
      <c r="AE83" s="9"/>
      <c r="AF83" s="9"/>
      <c r="AG83" s="9"/>
      <c r="AH83" s="9"/>
      <c r="AI83" s="9"/>
      <c r="AJ83" s="9"/>
      <c r="AK83" s="9"/>
      <c r="AL83" s="9"/>
      <c r="AM83" s="13" t="s">
        <v>298</v>
      </c>
    </row>
    <row r="84" spans="1:39" ht="100" customHeight="1">
      <c r="A84" s="9">
        <v>82</v>
      </c>
      <c r="B84" s="3" t="s">
        <v>574</v>
      </c>
      <c r="C84" s="3" t="s">
        <v>67</v>
      </c>
      <c r="D84" s="3">
        <f t="shared" si="8"/>
        <v>2023</v>
      </c>
      <c r="E84" s="6">
        <v>45270</v>
      </c>
      <c r="F84" s="6"/>
      <c r="G84" s="3"/>
      <c r="H84" s="3" t="s">
        <v>22</v>
      </c>
      <c r="I84" s="3" t="s">
        <v>341</v>
      </c>
      <c r="J84" s="3" t="s">
        <v>34</v>
      </c>
      <c r="K84" s="3" t="s">
        <v>391</v>
      </c>
      <c r="L84" s="9" t="s">
        <v>572</v>
      </c>
      <c r="M84" s="9" t="s">
        <v>419</v>
      </c>
      <c r="N84" s="9" t="s">
        <v>351</v>
      </c>
      <c r="O84" s="9" t="s">
        <v>359</v>
      </c>
      <c r="P84" s="9" t="s">
        <v>398</v>
      </c>
      <c r="Q84" s="9">
        <v>18</v>
      </c>
      <c r="R84" s="9"/>
      <c r="S84" s="9" t="s">
        <v>358</v>
      </c>
      <c r="T84" s="9" t="s">
        <v>406</v>
      </c>
      <c r="U84" s="9" t="s">
        <v>573</v>
      </c>
      <c r="V84" s="9" t="s">
        <v>461</v>
      </c>
      <c r="W84" s="9" t="s">
        <v>371</v>
      </c>
      <c r="X84" s="9"/>
      <c r="Y84" s="9"/>
      <c r="Z84" s="9"/>
      <c r="AA84" s="9"/>
      <c r="AB84" s="9" t="s">
        <v>367</v>
      </c>
      <c r="AC84" s="9"/>
      <c r="AD84" s="9"/>
      <c r="AE84" s="9" t="s">
        <v>123</v>
      </c>
      <c r="AF84" s="9"/>
      <c r="AG84" s="9"/>
      <c r="AH84" s="9"/>
      <c r="AI84" s="9"/>
      <c r="AJ84" s="9"/>
      <c r="AK84" s="9"/>
      <c r="AL84" s="9"/>
      <c r="AM84" s="13" t="s">
        <v>299</v>
      </c>
    </row>
    <row r="85" spans="1:39" ht="100" customHeight="1">
      <c r="A85" s="9">
        <v>83</v>
      </c>
      <c r="B85" s="3" t="s">
        <v>300</v>
      </c>
      <c r="C85" s="3" t="s">
        <v>67</v>
      </c>
      <c r="D85" s="3">
        <f t="shared" si="8"/>
        <v>2024</v>
      </c>
      <c r="E85" s="6">
        <v>45292</v>
      </c>
      <c r="F85" s="6"/>
      <c r="G85" s="3"/>
      <c r="H85" s="3" t="s">
        <v>287</v>
      </c>
      <c r="I85" s="3" t="s">
        <v>340</v>
      </c>
      <c r="J85" s="3"/>
      <c r="K85" s="3"/>
      <c r="L85" s="9" t="s">
        <v>575</v>
      </c>
      <c r="M85" s="9" t="s">
        <v>155</v>
      </c>
      <c r="N85" s="9" t="s">
        <v>351</v>
      </c>
      <c r="O85" s="9" t="s">
        <v>384</v>
      </c>
      <c r="P85" s="9"/>
      <c r="Q85" s="9">
        <v>2</v>
      </c>
      <c r="R85" s="9"/>
      <c r="S85" s="9"/>
      <c r="T85" s="9" t="s">
        <v>406</v>
      </c>
      <c r="U85" s="9" t="s">
        <v>301</v>
      </c>
      <c r="V85" s="9" t="s">
        <v>559</v>
      </c>
      <c r="W85" s="9" t="s">
        <v>449</v>
      </c>
      <c r="X85" s="9" t="s">
        <v>372</v>
      </c>
      <c r="Y85" s="9"/>
      <c r="Z85" s="9"/>
      <c r="AA85" s="9"/>
      <c r="AB85" s="9"/>
      <c r="AC85" s="9"/>
      <c r="AD85" s="9" t="s">
        <v>122</v>
      </c>
      <c r="AE85" s="9"/>
      <c r="AF85" s="9"/>
      <c r="AG85" s="9"/>
      <c r="AH85" s="9"/>
      <c r="AI85" s="9"/>
      <c r="AJ85" s="9"/>
      <c r="AK85" s="9"/>
      <c r="AL85" s="9"/>
      <c r="AM85" s="13" t="s">
        <v>302</v>
      </c>
    </row>
    <row r="86" spans="1:39" ht="100" customHeight="1">
      <c r="A86" s="9">
        <v>84</v>
      </c>
      <c r="B86" s="3" t="s">
        <v>303</v>
      </c>
      <c r="C86" s="3" t="s">
        <v>67</v>
      </c>
      <c r="D86" s="3">
        <f t="shared" si="8"/>
        <v>2024</v>
      </c>
      <c r="E86" s="6">
        <v>45321</v>
      </c>
      <c r="F86" s="3"/>
      <c r="G86" s="3"/>
      <c r="H86" s="3" t="s">
        <v>304</v>
      </c>
      <c r="I86" s="3"/>
      <c r="J86" s="3" t="s">
        <v>305</v>
      </c>
      <c r="K86" s="3" t="s">
        <v>338</v>
      </c>
      <c r="L86" s="9" t="s">
        <v>306</v>
      </c>
      <c r="M86" s="9" t="s">
        <v>155</v>
      </c>
      <c r="N86" s="9" t="s">
        <v>351</v>
      </c>
      <c r="O86" s="9"/>
      <c r="P86" s="9" t="s">
        <v>398</v>
      </c>
      <c r="Q86" s="9">
        <v>4</v>
      </c>
      <c r="R86" s="9" t="s">
        <v>414</v>
      </c>
      <c r="S86" s="9"/>
      <c r="T86" s="9" t="s">
        <v>406</v>
      </c>
      <c r="U86" s="9" t="s">
        <v>307</v>
      </c>
      <c r="V86" s="9" t="s">
        <v>559</v>
      </c>
      <c r="W86" s="9" t="s">
        <v>371</v>
      </c>
      <c r="X86" s="9" t="s">
        <v>372</v>
      </c>
      <c r="Y86" s="9"/>
      <c r="Z86" s="9"/>
      <c r="AA86" s="9"/>
      <c r="AB86" s="9"/>
      <c r="AC86" s="9"/>
      <c r="AD86" s="9"/>
      <c r="AE86" s="9"/>
      <c r="AF86" s="9"/>
      <c r="AG86" s="9"/>
      <c r="AH86" s="9"/>
      <c r="AI86" s="9"/>
      <c r="AJ86" s="9"/>
      <c r="AK86" s="9"/>
      <c r="AL86" s="9"/>
      <c r="AM86" s="15" t="s">
        <v>308</v>
      </c>
    </row>
    <row r="87" spans="1:39" ht="100" customHeight="1">
      <c r="A87" s="9">
        <v>85</v>
      </c>
      <c r="B87" s="3" t="s">
        <v>309</v>
      </c>
      <c r="C87" s="3" t="s">
        <v>381</v>
      </c>
      <c r="D87" s="3">
        <f t="shared" si="8"/>
        <v>2024</v>
      </c>
      <c r="E87" s="6">
        <v>45434</v>
      </c>
      <c r="F87" s="6">
        <v>45726</v>
      </c>
      <c r="G87" s="3">
        <f>F87-E87</f>
        <v>292</v>
      </c>
      <c r="H87" s="3" t="s">
        <v>22</v>
      </c>
      <c r="I87" s="3" t="s">
        <v>341</v>
      </c>
      <c r="J87" s="3" t="s">
        <v>59</v>
      </c>
      <c r="K87" s="3" t="s">
        <v>391</v>
      </c>
      <c r="L87" s="9" t="s">
        <v>576</v>
      </c>
      <c r="M87" s="9" t="s">
        <v>400</v>
      </c>
      <c r="N87" s="9" t="s">
        <v>351</v>
      </c>
      <c r="O87" s="9" t="s">
        <v>384</v>
      </c>
      <c r="P87" s="9" t="s">
        <v>398</v>
      </c>
      <c r="Q87" s="9">
        <v>8</v>
      </c>
      <c r="R87" s="9"/>
      <c r="S87" s="9" t="s">
        <v>358</v>
      </c>
      <c r="T87" s="9" t="s">
        <v>514</v>
      </c>
      <c r="U87" s="9" t="s">
        <v>310</v>
      </c>
      <c r="V87" s="9" t="s">
        <v>363</v>
      </c>
      <c r="W87" s="9" t="s">
        <v>371</v>
      </c>
      <c r="X87" s="9" t="s">
        <v>372</v>
      </c>
      <c r="Y87" s="9"/>
      <c r="Z87" s="9"/>
      <c r="AA87" s="9"/>
      <c r="AB87" s="9"/>
      <c r="AC87" s="9" t="s">
        <v>26</v>
      </c>
      <c r="AD87" s="9"/>
      <c r="AE87" s="9" t="s">
        <v>403</v>
      </c>
      <c r="AF87" s="9"/>
      <c r="AG87" s="9"/>
      <c r="AH87" s="9"/>
      <c r="AI87" s="9"/>
      <c r="AJ87" s="9"/>
      <c r="AK87" s="9"/>
      <c r="AL87" s="9"/>
      <c r="AM87" s="13" t="s">
        <v>311</v>
      </c>
    </row>
    <row r="88" spans="1:39" ht="100" customHeight="1">
      <c r="A88" s="9">
        <v>86</v>
      </c>
      <c r="B88" s="3" t="s">
        <v>312</v>
      </c>
      <c r="C88" s="3" t="s">
        <v>67</v>
      </c>
      <c r="D88" s="3">
        <f t="shared" si="8"/>
        <v>2024</v>
      </c>
      <c r="E88" s="6">
        <v>45468</v>
      </c>
      <c r="F88" s="6"/>
      <c r="G88" s="3"/>
      <c r="H88" s="3" t="s">
        <v>160</v>
      </c>
      <c r="I88" s="3" t="s">
        <v>341</v>
      </c>
      <c r="J88" s="3" t="s">
        <v>527</v>
      </c>
      <c r="K88" s="3" t="s">
        <v>338</v>
      </c>
      <c r="L88" s="9" t="s">
        <v>526</v>
      </c>
      <c r="M88" s="9" t="s">
        <v>419</v>
      </c>
      <c r="N88" s="9" t="s">
        <v>383</v>
      </c>
      <c r="O88" s="9" t="s">
        <v>384</v>
      </c>
      <c r="P88" s="9" t="s">
        <v>355</v>
      </c>
      <c r="Q88" s="9"/>
      <c r="R88" s="9"/>
      <c r="S88" s="9" t="s">
        <v>358</v>
      </c>
      <c r="T88" s="9" t="s">
        <v>406</v>
      </c>
      <c r="U88" s="9" t="s">
        <v>161</v>
      </c>
      <c r="V88" s="9" t="s">
        <v>363</v>
      </c>
      <c r="W88" s="9" t="s">
        <v>466</v>
      </c>
      <c r="X88" s="9" t="s">
        <v>372</v>
      </c>
      <c r="Y88" s="9"/>
      <c r="Z88" s="9"/>
      <c r="AA88" s="9"/>
      <c r="AB88" s="9"/>
      <c r="AC88" s="9"/>
      <c r="AD88" s="9" t="s">
        <v>456</v>
      </c>
      <c r="AE88" s="9"/>
      <c r="AF88" s="9"/>
      <c r="AG88" s="9"/>
      <c r="AH88" s="9"/>
      <c r="AI88" s="9"/>
      <c r="AJ88" s="9"/>
      <c r="AK88" s="9"/>
      <c r="AL88" s="9"/>
      <c r="AM88" s="13" t="s">
        <v>313</v>
      </c>
    </row>
    <row r="89" spans="1:39" ht="100" customHeight="1">
      <c r="A89" s="9">
        <v>87</v>
      </c>
      <c r="B89" s="3" t="s">
        <v>314</v>
      </c>
      <c r="C89" s="3" t="s">
        <v>67</v>
      </c>
      <c r="D89" s="3">
        <f t="shared" si="8"/>
        <v>2024</v>
      </c>
      <c r="E89" s="6">
        <v>45489</v>
      </c>
      <c r="F89" s="6"/>
      <c r="G89" s="3"/>
      <c r="H89" s="3" t="s">
        <v>149</v>
      </c>
      <c r="I89" s="3" t="s">
        <v>341</v>
      </c>
      <c r="J89" s="3"/>
      <c r="K89" s="3"/>
      <c r="L89" s="9" t="s">
        <v>296</v>
      </c>
      <c r="M89" s="9" t="s">
        <v>155</v>
      </c>
      <c r="N89" s="9" t="s">
        <v>383</v>
      </c>
      <c r="O89" s="9" t="s">
        <v>384</v>
      </c>
      <c r="P89" s="9" t="s">
        <v>398</v>
      </c>
      <c r="Q89" s="9"/>
      <c r="R89" s="9"/>
      <c r="S89" s="9" t="s">
        <v>358</v>
      </c>
      <c r="T89" s="9" t="s">
        <v>406</v>
      </c>
      <c r="U89" s="9" t="s">
        <v>577</v>
      </c>
      <c r="V89" s="9" t="s">
        <v>559</v>
      </c>
      <c r="W89" s="9" t="s">
        <v>371</v>
      </c>
      <c r="X89" s="9"/>
      <c r="Y89" s="9" t="s">
        <v>374</v>
      </c>
      <c r="Z89" s="9"/>
      <c r="AA89" s="9"/>
      <c r="AB89" s="9" t="s">
        <v>367</v>
      </c>
      <c r="AC89" s="9"/>
      <c r="AD89" s="9"/>
      <c r="AE89" s="9"/>
      <c r="AF89" s="9"/>
      <c r="AG89" s="9"/>
      <c r="AH89" s="9"/>
      <c r="AI89" s="9"/>
      <c r="AJ89" s="9"/>
      <c r="AK89" s="9"/>
      <c r="AL89" s="9"/>
      <c r="AM89" s="13" t="s">
        <v>315</v>
      </c>
    </row>
    <row r="90" spans="1:39" ht="100" customHeight="1">
      <c r="A90" s="9">
        <v>88</v>
      </c>
      <c r="B90" s="3" t="s">
        <v>316</v>
      </c>
      <c r="C90" s="3" t="s">
        <v>67</v>
      </c>
      <c r="D90" s="3">
        <f t="shared" si="8"/>
        <v>2024</v>
      </c>
      <c r="E90" s="6">
        <v>45510</v>
      </c>
      <c r="F90" s="6"/>
      <c r="G90" s="3"/>
      <c r="H90" s="3" t="s">
        <v>317</v>
      </c>
      <c r="I90" s="3" t="s">
        <v>341</v>
      </c>
      <c r="J90" s="3" t="s">
        <v>579</v>
      </c>
      <c r="K90" s="3" t="s">
        <v>391</v>
      </c>
      <c r="L90" s="9" t="s">
        <v>578</v>
      </c>
      <c r="M90" s="9" t="s">
        <v>419</v>
      </c>
      <c r="N90" s="9" t="s">
        <v>351</v>
      </c>
      <c r="O90" s="9" t="s">
        <v>359</v>
      </c>
      <c r="P90" s="9" t="s">
        <v>398</v>
      </c>
      <c r="Q90" s="9">
        <v>16</v>
      </c>
      <c r="R90" s="9"/>
      <c r="S90" s="9"/>
      <c r="T90" s="9" t="s">
        <v>532</v>
      </c>
      <c r="U90" s="9" t="s">
        <v>318</v>
      </c>
      <c r="V90" s="9" t="s">
        <v>394</v>
      </c>
      <c r="W90" s="9" t="s">
        <v>580</v>
      </c>
      <c r="X90" s="9" t="s">
        <v>372</v>
      </c>
      <c r="Y90" s="9"/>
      <c r="Z90" s="9"/>
      <c r="AA90" s="9"/>
      <c r="AB90" s="9"/>
      <c r="AC90" s="9"/>
      <c r="AD90" s="9"/>
      <c r="AE90" s="9"/>
      <c r="AF90" s="9"/>
      <c r="AG90" s="9"/>
      <c r="AH90" s="9"/>
      <c r="AI90" s="9"/>
      <c r="AJ90" s="9"/>
      <c r="AK90" s="9"/>
      <c r="AL90" s="9"/>
      <c r="AM90" s="13" t="s">
        <v>319</v>
      </c>
    </row>
    <row r="91" spans="1:39" s="10" customFormat="1" ht="100" customHeight="1">
      <c r="A91" s="9">
        <v>89</v>
      </c>
      <c r="B91" s="3" t="s">
        <v>320</v>
      </c>
      <c r="C91" s="3" t="s">
        <v>67</v>
      </c>
      <c r="D91" s="3">
        <f t="shared" si="8"/>
        <v>2024</v>
      </c>
      <c r="E91" s="6">
        <v>45544</v>
      </c>
      <c r="F91" s="6"/>
      <c r="G91" s="3"/>
      <c r="H91" s="3" t="s">
        <v>321</v>
      </c>
      <c r="I91" s="3" t="s">
        <v>341</v>
      </c>
      <c r="J91" s="3"/>
      <c r="K91" s="3" t="s">
        <v>338</v>
      </c>
      <c r="L91" s="9" t="s">
        <v>322</v>
      </c>
      <c r="M91" s="9" t="s">
        <v>400</v>
      </c>
      <c r="N91" s="9" t="s">
        <v>383</v>
      </c>
      <c r="O91" s="9" t="s">
        <v>384</v>
      </c>
      <c r="P91" s="9" t="s">
        <v>398</v>
      </c>
      <c r="Q91" s="9">
        <v>2</v>
      </c>
      <c r="R91" s="9" t="s">
        <v>360</v>
      </c>
      <c r="S91" s="9" t="s">
        <v>358</v>
      </c>
      <c r="T91" s="9" t="s">
        <v>406</v>
      </c>
      <c r="U91" s="9" t="s">
        <v>323</v>
      </c>
      <c r="V91" s="9" t="s">
        <v>559</v>
      </c>
      <c r="W91" s="9" t="s">
        <v>466</v>
      </c>
      <c r="X91" s="9" t="s">
        <v>372</v>
      </c>
      <c r="Y91" s="9"/>
      <c r="Z91" s="9"/>
      <c r="AA91" s="9"/>
      <c r="AB91" s="9" t="s">
        <v>367</v>
      </c>
      <c r="AC91" s="9"/>
      <c r="AD91" s="9"/>
      <c r="AE91" s="9"/>
      <c r="AF91" s="9"/>
      <c r="AG91" s="9"/>
      <c r="AH91" s="9"/>
      <c r="AI91" s="9"/>
      <c r="AJ91" s="9"/>
      <c r="AK91" s="9"/>
      <c r="AL91" s="9"/>
      <c r="AM91" s="13" t="s">
        <v>581</v>
      </c>
    </row>
    <row r="92" spans="1:39" s="10" customFormat="1" ht="100" customHeight="1">
      <c r="A92" s="9">
        <v>90</v>
      </c>
      <c r="B92" s="3" t="s">
        <v>324</v>
      </c>
      <c r="C92" s="3" t="s">
        <v>67</v>
      </c>
      <c r="D92" s="3">
        <f t="shared" si="8"/>
        <v>2025</v>
      </c>
      <c r="E92" s="6">
        <v>45841</v>
      </c>
      <c r="F92" s="3"/>
      <c r="G92" s="3"/>
      <c r="H92" s="3" t="s">
        <v>304</v>
      </c>
      <c r="I92" s="3"/>
      <c r="J92" s="3" t="s">
        <v>305</v>
      </c>
      <c r="K92" s="3"/>
      <c r="L92" s="9" t="s">
        <v>325</v>
      </c>
      <c r="M92" s="9" t="s">
        <v>382</v>
      </c>
      <c r="N92" s="9" t="s">
        <v>582</v>
      </c>
      <c r="O92" s="9" t="s">
        <v>384</v>
      </c>
      <c r="P92" s="9" t="s">
        <v>398</v>
      </c>
      <c r="Q92" s="9">
        <v>7</v>
      </c>
      <c r="R92" s="9"/>
      <c r="S92" s="9" t="s">
        <v>358</v>
      </c>
      <c r="T92" s="9" t="s">
        <v>406</v>
      </c>
      <c r="U92" s="9" t="s">
        <v>326</v>
      </c>
      <c r="V92" s="9" t="s">
        <v>559</v>
      </c>
      <c r="W92" s="9" t="s">
        <v>466</v>
      </c>
      <c r="X92" s="9"/>
      <c r="Y92" s="9"/>
      <c r="Z92" s="9"/>
      <c r="AA92" s="9"/>
      <c r="AB92" s="9" t="s">
        <v>367</v>
      </c>
      <c r="AC92" s="9"/>
      <c r="AD92" s="9"/>
      <c r="AE92" s="9"/>
      <c r="AF92" s="9"/>
      <c r="AG92" s="9"/>
      <c r="AH92" s="9"/>
      <c r="AI92" s="9"/>
      <c r="AJ92" s="9"/>
      <c r="AK92" s="9"/>
      <c r="AL92" s="9"/>
      <c r="AM92" s="15" t="s">
        <v>327</v>
      </c>
    </row>
    <row r="93" spans="1:39" s="10" customFormat="1" ht="100" customHeight="1">
      <c r="A93" s="9">
        <v>91</v>
      </c>
      <c r="B93" s="3" t="s">
        <v>328</v>
      </c>
      <c r="C93" s="3" t="s">
        <v>67</v>
      </c>
      <c r="D93" s="3">
        <f t="shared" si="8"/>
        <v>2025</v>
      </c>
      <c r="E93" s="6">
        <v>45923</v>
      </c>
      <c r="F93" s="3"/>
      <c r="G93" s="3"/>
      <c r="H93" s="3" t="s">
        <v>329</v>
      </c>
      <c r="I93" s="3"/>
      <c r="J93" s="3"/>
      <c r="K93" s="3"/>
      <c r="L93" s="9" t="s">
        <v>330</v>
      </c>
      <c r="M93" s="9" t="s">
        <v>551</v>
      </c>
      <c r="N93" s="9" t="s">
        <v>351</v>
      </c>
      <c r="O93" s="9" t="s">
        <v>384</v>
      </c>
      <c r="P93" s="9" t="s">
        <v>398</v>
      </c>
      <c r="Q93" s="9">
        <v>15</v>
      </c>
      <c r="R93" s="9"/>
      <c r="S93" s="9" t="s">
        <v>358</v>
      </c>
      <c r="T93" s="9" t="s">
        <v>406</v>
      </c>
      <c r="U93" s="9" t="s">
        <v>331</v>
      </c>
      <c r="V93" s="9" t="s">
        <v>559</v>
      </c>
      <c r="W93" s="9" t="s">
        <v>449</v>
      </c>
      <c r="X93" s="9"/>
      <c r="Y93" s="9" t="s">
        <v>374</v>
      </c>
      <c r="Z93" s="9"/>
      <c r="AA93" s="9" t="s">
        <v>436</v>
      </c>
      <c r="AB93" s="9" t="s">
        <v>367</v>
      </c>
      <c r="AC93" s="9"/>
      <c r="AD93" s="9"/>
      <c r="AE93" s="9"/>
      <c r="AF93" s="9"/>
      <c r="AG93" s="9"/>
      <c r="AH93" s="9"/>
      <c r="AI93" s="9"/>
      <c r="AJ93" s="9"/>
      <c r="AK93" s="9"/>
      <c r="AL93" s="9"/>
      <c r="AM93" s="15" t="s">
        <v>332</v>
      </c>
    </row>
    <row r="94" spans="1:39" s="10" customFormat="1" ht="30">
      <c r="B94" s="4"/>
      <c r="C94" s="4"/>
      <c r="D94" s="4"/>
      <c r="E94" s="4"/>
      <c r="F94" s="4"/>
      <c r="G94" s="4"/>
      <c r="H94" s="4"/>
      <c r="I94" s="4"/>
      <c r="J94" s="4"/>
      <c r="K94" s="4"/>
    </row>
    <row r="95" spans="1:39" s="10" customFormat="1" ht="30">
      <c r="B95" s="4"/>
      <c r="C95" s="4"/>
      <c r="D95" s="4"/>
      <c r="E95" s="4"/>
      <c r="F95" s="4"/>
      <c r="G95" s="4"/>
      <c r="H95" s="4"/>
      <c r="I95" s="4"/>
      <c r="J95" s="4"/>
      <c r="K95" s="4"/>
    </row>
    <row r="96" spans="1:39" s="10" customFormat="1" ht="30">
      <c r="B96" s="4"/>
      <c r="C96" s="4"/>
      <c r="D96" s="4"/>
      <c r="E96" s="4"/>
      <c r="F96" s="4"/>
      <c r="G96" s="4"/>
      <c r="H96" s="4"/>
      <c r="I96" s="4"/>
      <c r="J96" s="4"/>
      <c r="K96" s="4"/>
    </row>
  </sheetData>
  <autoFilter ref="A1:AM93" xr:uid="{22279C2E-2E9E-1341-A5D6-6219ADD20EC5}">
    <filterColumn colId="8" hiddenButton="1" showButton="0"/>
    <filterColumn colId="14" hiddenButton="1" showButton="0"/>
    <filterColumn colId="15" hiddenButton="1" showButton="0"/>
    <filterColumn colId="17" hiddenButton="1" showButton="0"/>
    <filterColumn colId="18" hiddenButton="1" showButton="0"/>
    <filterColumn colId="31" hiddenButton="1" showButton="0"/>
    <filterColumn colId="32" hiddenButton="1" showButton="0"/>
    <sortState xmlns:xlrd2="http://schemas.microsoft.com/office/spreadsheetml/2017/richdata2" ref="A2:AM93">
      <sortCondition ref="D4:D93"/>
    </sortState>
  </autoFilter>
  <mergeCells count="7">
    <mergeCell ref="AH1:AJ1"/>
    <mergeCell ref="AE1:AG1"/>
    <mergeCell ref="L1:M1"/>
    <mergeCell ref="D1:G1"/>
    <mergeCell ref="H1:K1"/>
    <mergeCell ref="N1:S1"/>
    <mergeCell ref="W1:AD1"/>
  </mergeCells>
  <phoneticPr fontId="4" type="noConversion"/>
  <dataValidations count="27">
    <dataValidation type="list" allowBlank="1" showInputMessage="1" showErrorMessage="1" sqref="X41" xr:uid="{550F966D-0EAA-D34A-BC23-428F99FC82DD}">
      <formula1>"Constitutional/Human Rights, Environmental/Administrative Law, International Law, Procedural Grounds"</formula1>
    </dataValidation>
    <dataValidation type="list" allowBlank="1" showInputMessage="1" showErrorMessage="1" sqref="AB55 AC2:AC54 AC56:AC1048576" xr:uid="{7306DF21-6450-664C-AFC4-62B678572969}">
      <formula1>"Public Trust Doctrine, N/A"</formula1>
    </dataValidation>
    <dataValidation type="list" allowBlank="1" showInputMessage="1" showErrorMessage="1" sqref="M1:M1048576" xr:uid="{1DCF3E4C-031C-7D43-94A6-77A573C5BEDA}">
      <formula1>"Trial Court, Appellate Court, State Supreme Court, Quasi-judicial Body, International / Regional Body, Federal Supreme Court, Constitutional Court, International Organization, International Tribunal"</formula1>
    </dataValidation>
    <dataValidation type="list" allowBlank="1" showInputMessage="1" showErrorMessage="1" sqref="T1:T1048576" xr:uid="{0BACE8CE-912F-694E-A878-E9062FC18F23}">
      <formula1>"National Government, Sub-national Government, Supranational Entity, Environmental Agency, Regulatory Body, Private Corporation, State-owned Enterprise, Multiple Defendants"</formula1>
    </dataValidation>
    <dataValidation type="list" allowBlank="1" showInputMessage="1" showErrorMessage="1" sqref="K1:K1048576" xr:uid="{F70B420A-40EC-A74E-8946-E777C48034C8}">
      <formula1>"Capital City, Others"</formula1>
    </dataValidation>
    <dataValidation type="list" allowBlank="1" showInputMessage="1" showErrorMessage="1" sqref="V1:V1048576" xr:uid="{5C147698-CDE8-3E48-BA69-D0EB190C323D}">
      <formula1>"Strengthen Emission Targets, Imposing Restrictions on GHG, Invalidate Policy/Law, Halt Specific Project, Constitutional Declaration, Monetary Damages, Statutory Reform, Procedural Participation, Human Rights &amp; NDC Protection Claim"</formula1>
    </dataValidation>
    <dataValidation type="list" allowBlank="1" showInputMessage="1" showErrorMessage="1" sqref="I1:I1048576" xr:uid="{7085652F-AF3C-3E40-9C62-441C52339778}">
      <formula1>"Global North, Global South, Mixed"</formula1>
    </dataValidation>
    <dataValidation type="list" allowBlank="1" showInputMessage="1" showErrorMessage="1" sqref="AL1:AL1048576" xr:uid="{2E163E45-4D76-2849-AF8A-05D9C0285785}">
      <formula1>"Full Compliance, Partial Compliance, Non-compliance, Procedural Victory Only    "</formula1>
    </dataValidation>
    <dataValidation type="list" allowBlank="1" showInputMessage="1" showErrorMessage="1" sqref="AK1:AK1048576" xr:uid="{FEBA6173-3E18-A849-84A1-C6B4C14CC44B}">
      <formula1>"Constitutional Rights, Human Rights Law, State Obligations, Public Trust Doctrine, Tort Law, Rights of Nature, Jurisdictional Success"</formula1>
    </dataValidation>
    <dataValidation type="list" allowBlank="1" showInputMessage="1" showErrorMessage="1" sqref="N1:N1048576" xr:uid="{65C9497B-E8AA-BC49-A00D-928CBA0C13D0}">
      <formula1>"Individual, Group of Youths, NGO + Youths, Law Firm + Youths, Families, NGO Only"</formula1>
    </dataValidation>
    <dataValidation type="list" allowBlank="1" showInputMessage="1" showErrorMessage="1" sqref="O1:O1048576" xr:uid="{DB962B78-AEBC-0143-AA2D-BFD0BA1E0D6C}">
      <formula1>"Minors Only (U18), Mixed (Minors &amp; Adults), Young Adults Only (18+)"</formula1>
    </dataValidation>
    <dataValidation type="list" allowBlank="1" showInputMessage="1" showErrorMessage="1" sqref="P1:P1048576" xr:uid="{34933508-3744-C242-A2D2-A5F71B7AC3C6}">
      <formula1>"via Next Friend, Self-represented"</formula1>
    </dataValidation>
    <dataValidation type="list" allowBlank="1" showInputMessage="1" showErrorMessage="1" sqref="R1:R1048576" xr:uid="{5C8734F5-A478-4E43-8E83-185CEDEE85D3}">
      <formula1>"N/A, Fetus Included, Indigenous, Large Group, Frontline Community, International Group, Refiled Claim, Student Group"</formula1>
    </dataValidation>
    <dataValidation type="list" allowBlank="1" showInputMessage="1" showErrorMessage="1" sqref="S1:S1048576" xr:uid="{999B6C48-608C-1347-ADD0-62988444E432}">
      <formula1>"Specialized Climate NGO, Public Interest Law Firm, Big Law (Pro Bono), Academic/Legal Clinic, Grassroots Collective"</formula1>
    </dataValidation>
    <dataValidation type="list" allowBlank="1" showInputMessage="1" showErrorMessage="1" sqref="AE1:AE1048576" xr:uid="{0AD692C8-29A6-EC4B-9EDE-3C5103E9B20E}">
      <formula1>"Lack of Standing, Non-justiciability, No Procedural Breach, Jurisdictional Bar, Procedural Bar"</formula1>
    </dataValidation>
    <dataValidation type="list" allowBlank="1" showInputMessage="1" showErrorMessage="1" sqref="AF1:AF1048576" xr:uid="{915351E7-E538-FA4B-AEF4-A149497B1C77}">
      <formula1>"No Enforceable Duty, Lack of Prospects, Binding Precedent, No Error of Law, Lack of Causation"</formula1>
    </dataValidation>
    <dataValidation type="list" allowBlank="1" showInputMessage="1" showErrorMessage="1" sqref="AG1:AG1048576" xr:uid="{554D5780-82EE-7C45-A208-6B13AD361A98}">
      <formula1>"Voluntary withdrawal"</formula1>
    </dataValidation>
    <dataValidation type="list" allowBlank="1" showInputMessage="1" showErrorMessage="1" sqref="AH1:AH1048576" xr:uid="{120DBE5E-E40D-A542-A08A-E9201D6A662F}">
      <formula1>"Recognized Standing, Case Justiciable, Lowered Procedural Barriers, International Jurisdiction"</formula1>
    </dataValidation>
    <dataValidation type="list" allowBlank="1" showInputMessage="1" showErrorMessage="1" sqref="AI2:AI1048576" xr:uid="{EE5EEBAD-EC3A-3341-815C-1B493F983410}">
      <formula1>"Environmental &amp; Health Rights, Intergenerational Equity, Public Trust &amp; Fiduciary Duty, Best Interests of Child, Science-based Adjudication"</formula1>
    </dataValidation>
    <dataValidation type="list" allowBlank="1" showInputMessage="1" showErrorMessage="1" sqref="AJ2:AJ1048576" xr:uid="{CCA3EDBA-CF52-7443-847B-209877A7E9B8}">
      <formula1>"Emission Targets &amp; Policy Reform, Invalidation of Projects/Permits, Judicial Monitoring &amp; Enforcement, Legislative &amp; Rulemaking Trigger"</formula1>
    </dataValidation>
    <dataValidation type="list" allowBlank="1" showInputMessage="1" showErrorMessage="1" sqref="X2:X1048576" xr:uid="{460C1C06-B3F9-9641-80C5-18DC30FB8E18}">
      <formula1>"Environmental Rights, N/A"</formula1>
    </dataValidation>
    <dataValidation type="list" allowBlank="1" showInputMessage="1" showErrorMessage="1" sqref="Y2:Y1048576" xr:uid="{293F45BE-CC72-2A44-8B16-AC78D46C6BB1}">
      <formula1>"Life &amp; Health Rights, N/A"</formula1>
    </dataValidation>
    <dataValidation type="list" allowBlank="1" showInputMessage="1" showErrorMessage="1" sqref="AD2:AD1048576" xr:uid="{4B0E24E2-78D2-7F4B-B72D-900AE6ADF91D}">
      <formula1>"UN Convention on the Rights of the Child, Paris Agreement, ACHR, ECHR, UNFCCC, ICCPR"</formula1>
    </dataValidation>
    <dataValidation type="list" allowBlank="1" showInputMessage="1" showErrorMessage="1" sqref="Z2:Z1048576" xr:uid="{91A54977-E50A-264F-BF94-A91840477775}">
      <formula1>"Children's Rights"</formula1>
    </dataValidation>
    <dataValidation type="list" allowBlank="1" showInputMessage="1" showErrorMessage="1" sqref="AB2:AB1048576" xr:uid="{4E2D34B8-DCD9-9B43-BDBC-920012380609}">
      <formula1>"Intergenerational Equity"</formula1>
    </dataValidation>
    <dataValidation type="list" allowBlank="1" showInputMessage="1" showErrorMessage="1" sqref="AA2:AA1048576" xr:uid="{E4D434E1-B8C8-D340-898A-C14CB5CA98C3}">
      <formula1>"Property Rights"</formula1>
    </dataValidation>
    <dataValidation type="list" allowBlank="1" showInputMessage="1" showErrorMessage="1" sqref="W1:W1048576" xr:uid="{C8AD3F4E-7878-1C44-A47A-1CFBDF92721E}">
      <formula1>"Constitutional/Human Rights, Civil Law, Environmental/Administrative Law, International Law, Procedural Grounds"</formula1>
    </dataValidation>
  </dataValidations>
  <hyperlinks>
    <hyperlink ref="AM89" r:id="rId1" xr:uid="{31FD9CCB-414E-6A44-B980-7D74887EEAC7}"/>
    <hyperlink ref="AM83" r:id="rId2" xr:uid="{31EE4E74-47CB-1C4F-9345-38BAC4080CB1}"/>
    <hyperlink ref="AM71" r:id="rId3" xr:uid="{D86A7F3E-649D-7049-8150-9A4B7775ED2B}"/>
    <hyperlink ref="AM58" r:id="rId4" xr:uid="{79945897-7BA1-C446-B3F2-5E3EFA41FAC4}"/>
    <hyperlink ref="AM15" r:id="rId5" xr:uid="{CD3C20D0-C25E-E148-AD42-B4031B85C034}"/>
    <hyperlink ref="AM5" r:id="rId6" xr:uid="{B4E024E5-DA96-734C-8B12-D7235639714D}"/>
    <hyperlink ref="AM6" r:id="rId7" xr:uid="{E3B79ACC-35E5-BD4C-9EF4-DB1FBC77E220}"/>
    <hyperlink ref="AM7" r:id="rId8" xr:uid="{B899F577-669F-1F45-AAA0-A7EC59FA9D1B}"/>
    <hyperlink ref="AM8" r:id="rId9" xr:uid="{DB8FD95A-E78D-B04B-A54E-902DCCECA6E2}"/>
    <hyperlink ref="AM77" r:id="rId10" xr:uid="{728A80FA-E9E1-974C-A5F4-66EC9222EAB7}"/>
    <hyperlink ref="AM82" r:id="rId11" display="https://climatecasechart.com/non-us-case/the-north-sea-fields-case-greenpeace-nordic-and-nature-youth-v-energy-ministry/" xr:uid="{2B570817-E46C-4545-A38E-BF46E200C359}"/>
    <hyperlink ref="AM88" r:id="rId12" xr:uid="{8821DC4B-D07D-B84C-AC44-ED3D4880067C}"/>
    <hyperlink ref="AM33" r:id="rId13" xr:uid="{D7C4E7C4-BA55-EB45-AEB9-C3F5857A7C9F}"/>
    <hyperlink ref="AM39" r:id="rId14" xr:uid="{7B52FC6F-E9EE-5440-AA49-18BC5D5A6944}"/>
    <hyperlink ref="AM67" r:id="rId15" xr:uid="{52F2A960-0AD7-914B-93FB-B30C28D06E35}"/>
    <hyperlink ref="AM50" r:id="rId16" xr:uid="{460332F1-D0CC-044F-B17E-54B2BD4A63B8}"/>
    <hyperlink ref="AM49" r:id="rId17" xr:uid="{7798927C-7855-3E45-8596-BFCE0F5BFF8D}"/>
    <hyperlink ref="AM85" r:id="rId18" xr:uid="{23CDEC3B-4707-9A4E-A0AB-D97C9C4C559E}"/>
    <hyperlink ref="AM90" r:id="rId19" display="https://climatecasechart.com/non-us-case/youth-climate-case-japan-for-tomorrow/" xr:uid="{ECC1A0C6-0990-B949-A413-A8F30737FF02}"/>
    <hyperlink ref="AM62" r:id="rId20" xr:uid="{57E3E888-DA66-514B-B80F-10B18850F031}"/>
    <hyperlink ref="AM54" r:id="rId21" xr:uid="{3791891E-D752-EE4A-9374-ACB8498BA74B}"/>
    <hyperlink ref="AM10" r:id="rId22" xr:uid="{DD6D3EF0-CA07-B846-8C5D-ACCBDDA29204}"/>
    <hyperlink ref="AM66" r:id="rId23" xr:uid="{ADA674EB-B6C3-364B-8FDF-BA33AD9A1923}"/>
    <hyperlink ref="AM74" r:id="rId24" xr:uid="{2B5FCF9E-4F79-7040-9967-0795EEDB812C}"/>
    <hyperlink ref="AM52" r:id="rId25" xr:uid="{45849586-27BD-2240-8DD7-BADD410EF626}"/>
    <hyperlink ref="AM4" r:id="rId26" display="https://climatecasechart.com/case/sanders-reed-v-martinez/" xr:uid="{097CD9B7-9F1B-7C47-AE94-4736148D2E20}"/>
    <hyperlink ref="AM25" r:id="rId27" xr:uid="{BF3DCB81-A117-D04A-A6DE-C216FA108A7C}"/>
    <hyperlink ref="AM27" r:id="rId28" xr:uid="{FFB76ADC-E026-DA41-AEB3-3020F51E1EB2}"/>
    <hyperlink ref="AM61" r:id="rId29" xr:uid="{880B1667-12BB-1A4A-8BAB-51D625E9D479}"/>
    <hyperlink ref="AM69" r:id="rId30" xr:uid="{7299EE77-BBE7-1543-ABF2-4F802A821DD8}"/>
    <hyperlink ref="AM16" r:id="rId31" display="https://climatecasechart.com/case/martinez-v-colorado-oil-gas-conservation-commission/" xr:uid="{7D73C9CD-EDB0-A94A-B164-D3FE655E7F9C}"/>
    <hyperlink ref="AM64" r:id="rId32" xr:uid="{8871054B-633F-1747-90B8-DA5B93549363}"/>
    <hyperlink ref="AM63" r:id="rId33" xr:uid="{6F6F6613-1BE9-2445-BC78-9809858FF2FD}"/>
    <hyperlink ref="AM12" r:id="rId34" xr:uid="{092C1047-7A48-CF4A-AED6-67699AD6E6B6}"/>
    <hyperlink ref="AM20" r:id="rId35" xr:uid="{C4E32735-8544-D24A-8AC7-8301AB9EE356}"/>
    <hyperlink ref="AM43" r:id="rId36" display="https://climatecasechart.com/non-us-case/fridays-for-future-estonia-vs-environmental-board/" xr:uid="{B4323D90-FD20-0B4C-B188-69851FAA7622}"/>
    <hyperlink ref="AM75" r:id="rId37" xr:uid="{7B9080B6-FA2C-EF4E-A5FB-F0597FB95EE7}"/>
    <hyperlink ref="AM45" r:id="rId38" xr:uid="{CBAF5012-7A04-B741-95CA-B02BF67D4EA5}"/>
    <hyperlink ref="AM60" r:id="rId39" display="https://climatecasechart.com/non-us-case/alena-hochstadt-et-al-v-state-of-hesse/" xr:uid="{DDF0373D-B1DA-554B-BE83-CA45EFC6C911}"/>
    <hyperlink ref="AM24" r:id="rId40" display="https://climatecasechart.com/non-us-case/pandey-v-india/" xr:uid="{F391AE25-DC2E-604F-8D8D-6F5A3A473722}"/>
    <hyperlink ref="AM3" r:id="rId41" xr:uid="{67EFF1EE-3F7A-744D-8BA6-E6B24A0FE9F1}"/>
    <hyperlink ref="AM34" r:id="rId42" display="https://climatecasechart.com/non-us-case/sacchi-et-al-v-argentina-et-al/" xr:uid="{E6E80B97-D9A0-F24C-AFEF-4CFEA13EA0E5}"/>
    <hyperlink ref="AM76" r:id="rId43" xr:uid="{ED7CF1D3-9E25-DE49-95D2-4305CF92CCEB}"/>
    <hyperlink ref="AM87" r:id="rId44" display="https://climatecasechart.com/case/sagoonick-v-state/" xr:uid="{99F6227E-05D7-F647-AC1A-DC1D6477F1B2}"/>
    <hyperlink ref="AM30" r:id="rId45" xr:uid="{BC7B058C-DB91-7142-8D29-78EE004B9A74}"/>
    <hyperlink ref="AM23" r:id="rId46" xr:uid="{4BEDFC2E-6296-304A-A3F6-C26F39554588}"/>
    <hyperlink ref="AM84" r:id="rId47" display="https://climatecasechart.com/case/genesis-b-v-us-environmental-protection-agency/" xr:uid="{E971855F-7EDC-1648-B1A5-A7C85786A910}"/>
    <hyperlink ref="AM55" r:id="rId48" display="https://climatecasechart.com/non-us-case/greenpeace-nordic-assn-v-ministry-of-petroleum-and-energy-ecthr/" xr:uid="{D0F03F4B-EF02-2147-8C40-DC799AFCA0DC}"/>
    <hyperlink ref="AM32" r:id="rId49" display="https://climatecasechart.com/non-us-case/environnement-jeunesse-v-canadian-government/" xr:uid="{14657366-CCA6-4346-ABC9-F051A1D85895}"/>
    <hyperlink ref="AM59" r:id="rId50" xr:uid="{3BE0F8CB-9F35-6F42-A9D8-0BC6A89BDE03}"/>
    <hyperlink ref="AM80" r:id="rId51" display="https://climatecasechart.com/non-us-case/as-sa-enb-v-presidency-of-turkiye-the-ministry-of-environment-urbanization-and-climate-change/" xr:uid="{ACB82A19-D71A-754A-8F4C-8B7B1F4450F2}"/>
    <hyperlink ref="AM53" r:id="rId52" display="https://climatecasechart.com/non-us-case/plan-b-earth-and-others-v-prime-minister/" xr:uid="{1C6CE5CD-5175-234F-BC6B-3ACBFFC96810}"/>
    <hyperlink ref="AM21" r:id="rId53" xr:uid="{5CB1679F-F61F-CF42-86E1-2E5CAA0376AF}"/>
    <hyperlink ref="AM92" r:id="rId54" xr:uid="{68C56A57-6CFC-FF4A-9A87-BDF1DAD90026}"/>
    <hyperlink ref="AM93" r:id="rId55" xr:uid="{A89A5B0D-44BB-CE46-8B1B-A7B3EECC4490}"/>
    <hyperlink ref="AM86" r:id="rId56" xr:uid="{96967416-4217-B44A-8693-C0E3F45E9F7B}"/>
    <hyperlink ref="AM11" r:id="rId57" xr:uid="{D11CDFAF-E609-7347-9AAD-63DED47AB450}"/>
    <hyperlink ref="AM13" r:id="rId58" xr:uid="{FEBE783E-B27D-CD45-94F3-38C79BB3ECA8}"/>
    <hyperlink ref="AM18" r:id="rId59" xr:uid="{EC7CBC46-614F-1841-9927-D94F9AD09AEC}"/>
    <hyperlink ref="AM22" r:id="rId60" xr:uid="{5F79B0CE-5982-E24C-A1B3-54BC61C5E66F}"/>
    <hyperlink ref="AM26" r:id="rId61" xr:uid="{5E274D6F-17C0-8B40-A1E6-B5F5157CC60C}"/>
    <hyperlink ref="AM29" r:id="rId62" xr:uid="{750F1BB6-783E-1844-A132-10C334AE2DB2}"/>
    <hyperlink ref="AM31" r:id="rId63" xr:uid="{EFBC2576-9CBD-4044-84F0-22F935FFAEF4}"/>
    <hyperlink ref="AM36" r:id="rId64" xr:uid="{BAE664D4-CA49-C448-A629-776BFCB6853C}"/>
    <hyperlink ref="AM37" r:id="rId65" xr:uid="{0AB6FC12-CAB1-EB48-A6A4-8BA982FACB15}"/>
    <hyperlink ref="AM70" r:id="rId66" xr:uid="{BBA732EF-6B2D-E44E-8B0E-7D4681CC79F0}"/>
    <hyperlink ref="AM38" r:id="rId67" xr:uid="{279A3248-2392-7D4D-A524-A99EFE6229E5}"/>
    <hyperlink ref="AM41" r:id="rId68" xr:uid="{12247A69-15A7-6B43-AA6A-248653E9D647}"/>
    <hyperlink ref="AM44" r:id="rId69" xr:uid="{27B3F70C-A500-0343-B36D-142C9093B33F}"/>
    <hyperlink ref="AM48" r:id="rId70" xr:uid="{80118DE2-7913-1C4E-BB27-357EA512B91B}"/>
    <hyperlink ref="AM57" r:id="rId71" xr:uid="{29BFF551-D588-ED47-A9D1-29545AE99A3A}"/>
    <hyperlink ref="AM68" r:id="rId72" xr:uid="{545FFDED-A3C8-5F43-989E-906BF8944B41}"/>
    <hyperlink ref="AM81" r:id="rId73" xr:uid="{5F2831B2-F8CA-D24B-ADC9-51C9FCA383D7}"/>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1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dwq</dc:creator>
  <cp:keywords/>
  <dc:description/>
  <cp:lastModifiedBy>Wenqing</cp:lastModifiedBy>
  <dcterms:created xsi:type="dcterms:W3CDTF">2025-12-24T12:04:02Z</dcterms:created>
  <dcterms:modified xsi:type="dcterms:W3CDTF">2026-02-08T02:14:58Z</dcterms:modified>
  <cp:category/>
</cp:coreProperties>
</file>